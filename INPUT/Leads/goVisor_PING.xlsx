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vorwerkholding-my.sharepoint.com/personal/sven_kotzur_vorwerk_de/Documents/Desktop/goVisor/Leads/"/>
    </mc:Choice>
  </mc:AlternateContent>
  <xr:revisionPtr revIDLastSave="1826" documentId="11_AD4DB114E441178AC67DF4AA7691DAC6693EDF1A" xr6:coauthVersionLast="47" xr6:coauthVersionMax="47" xr10:uidLastSave="{56B91738-CD11-4C9D-A9B4-0496C210BDCC}"/>
  <bookViews>
    <workbookView xWindow="57990" yWindow="555" windowWidth="28605" windowHeight="14925" xr2:uid="{00000000-000D-0000-FFFF-FFFF00000000}"/>
  </bookViews>
  <sheets>
    <sheet name="READ ME" sheetId="6" r:id="rId1"/>
    <sheet name="PING" sheetId="5" r:id="rId2"/>
  </sheets>
  <definedNames>
    <definedName name="_xlnm._FilterDatabase" localSheetId="1" hidden="1">PING!$B$6:$N$10</definedName>
    <definedName name="_xlnm._FilterDatabase" localSheetId="0" hidden="1">'READ ME'!#REF!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<sst xmlns="http://schemas.openxmlformats.org/spreadsheetml/2006/main" count="95" uniqueCount="75">
  <si>
    <t>Status</t>
  </si>
  <si>
    <t>Auftraggeber</t>
  </si>
  <si>
    <t>Auftrags ID</t>
  </si>
  <si>
    <t>Auftragsgegenstand</t>
  </si>
  <si>
    <t>Aktueller Dienstleister</t>
  </si>
  <si>
    <t>Kategorie</t>
  </si>
  <si>
    <r>
      <t xml:space="preserve">💻 </t>
    </r>
    <r>
      <rPr>
        <b/>
        <sz val="10"/>
        <color rgb="FF334155"/>
        <rFont val="Segoe UI"/>
        <family val="2"/>
      </rPr>
      <t>Hardware</t>
    </r>
  </si>
  <si>
    <t>* Prognostiziertes Datum basierend auf historischer Laufzeit.</t>
  </si>
  <si>
    <r>
      <t xml:space="preserve">🛠 </t>
    </r>
    <r>
      <rPr>
        <b/>
        <sz val="10"/>
        <color rgb="FF334155"/>
        <rFont val="Segoe UI"/>
        <family val="2"/>
      </rPr>
      <t>Dienstleistung</t>
    </r>
  </si>
  <si>
    <t>🔥 AKQUISE</t>
  </si>
  <si>
    <t>👀 PIPELINE</t>
  </si>
  <si>
    <t>Bieter</t>
  </si>
  <si>
    <t>Volumen</t>
  </si>
  <si>
    <t>Vergabe</t>
  </si>
  <si>
    <t>Fällig*</t>
  </si>
  <si>
    <t>Lose</t>
  </si>
  <si>
    <t>2026 Q3</t>
  </si>
  <si>
    <t>LZPD NRW (Polizei NRW)</t>
  </si>
  <si>
    <t>667972-2022</t>
  </si>
  <si>
    <t>RV Betrieb &amp; Hosting BW-Informationssystem (SAP/VMware)</t>
  </si>
  <si>
    <t>DATAGROUP Business Solutions GmbH</t>
  </si>
  <si>
    <t>500944-2022</t>
  </si>
  <si>
    <t>RV Check Point Firewalls (Lieferung &amp; Support)</t>
  </si>
  <si>
    <t>NTT Germany AG &amp; Co. KG (Direktvergabe)</t>
  </si>
  <si>
    <t>553816-2022</t>
  </si>
  <si>
    <t>Online-Kommunikation Bundesregierung (CMS CoreMedia, DAM, Hosting)</t>
  </si>
  <si>
    <t>Split-Vendor (Babiel GmbH, init AG)</t>
  </si>
  <si>
    <t>BPA</t>
  </si>
  <si>
    <t xml:space="preserve">DLR </t>
  </si>
  <si>
    <t>Kontakt Mail (Vergabe)</t>
  </si>
  <si>
    <t>Decision Maker / Ansprechpartner</t>
  </si>
  <si>
    <t>TDZA42Vergabe.LZPD@polizei.nrw.de</t>
  </si>
  <si>
    <t>vergabe@bpa.bund.de</t>
  </si>
  <si>
    <t>Dirk Eltus (dirk.eltus@dlr.de)</t>
  </si>
  <si>
    <t>dirk.eltus@dlr.de</t>
  </si>
  <si>
    <t>Status: Q4 2025</t>
  </si>
  <si>
    <t>Edition: PING</t>
  </si>
  <si>
    <t>© 2025 goVisor</t>
  </si>
  <si>
    <t>hello@goVisor.eu</t>
  </si>
  <si>
    <t>Predictive Sales Intelligence (Status: Q4 2025)</t>
  </si>
  <si>
    <t>Vielen Dank für den Erwerb dieses Data Intelligence Reports. Diese Liste beinhaltet identifizierte IT-Rahmenverträge der öffentlichen Hand, deren Laufzeitende im Prognosezeitraum ansteht.</t>
  </si>
  <si>
    <t>Legende &amp; Erläuterungen</t>
  </si>
  <si>
    <r>
      <rPr>
        <b/>
        <sz val="11"/>
        <color rgb="FFC2410C"/>
        <rFont val="Segou ui"/>
      </rPr>
      <t xml:space="preserve">UPGRADE  </t>
    </r>
    <r>
      <rPr>
        <b/>
        <sz val="11"/>
        <color theme="0"/>
        <rFont val="Segou ui"/>
      </rPr>
      <t xml:space="preserve"> Wählen Sie Ihren Marktzugang</t>
    </r>
  </si>
  <si>
    <t>Spalte</t>
  </si>
  <si>
    <t>Erläuterung</t>
  </si>
  <si>
    <t>Paket</t>
  </si>
  <si>
    <t>Leads</t>
  </si>
  <si>
    <t>Decision Maker</t>
  </si>
  <si>
    <t>Preis</t>
  </si>
  <si>
    <t>Launch Deal</t>
  </si>
  <si>
    <t>Zum Paket</t>
  </si>
  <si>
    <r>
      <rPr>
        <b/>
        <sz val="10"/>
        <color theme="1"/>
        <rFont val="Segoe UI"/>
        <family val="2"/>
      </rPr>
      <t>Sofortige Action.</t>
    </r>
    <r>
      <rPr>
        <sz val="10"/>
        <color theme="1"/>
        <rFont val="Segoe UI"/>
        <family val="2"/>
      </rPr>
      <t xml:space="preserve"> Der Rahmenvertrag läuft im Prognosezeitraum (nächste 12–18 Monate) aus. Die "Capture Phase" (Vor-Akquise) muss jetzt beginnen, bevor die Ausschreibung veröffentlicht wird.</t>
    </r>
  </si>
  <si>
    <t>PING</t>
  </si>
  <si>
    <t>&gt; 50 Mio. €</t>
  </si>
  <si>
    <t xml:space="preserve">❌ </t>
  </si>
  <si>
    <t>SCAN</t>
  </si>
  <si>
    <t>&gt; 360 Mio. €</t>
  </si>
  <si>
    <t>→ Upgrade</t>
  </si>
  <si>
    <t>FOCUS</t>
  </si>
  <si>
    <t>&gt; 935 Mio. €</t>
  </si>
  <si>
    <t>X-RAY</t>
  </si>
  <si>
    <t>&gt; 2.8 Mrd. €</t>
  </si>
  <si>
    <t>✓</t>
  </si>
  <si>
    <r>
      <rPr>
        <b/>
        <sz val="10"/>
        <color theme="1"/>
        <rFont val="Segoe UI"/>
        <family val="2"/>
      </rPr>
      <t>Beobachtung.</t>
    </r>
    <r>
      <rPr>
        <sz val="10"/>
        <color theme="1"/>
        <rFont val="Segoe UI"/>
        <family val="2"/>
      </rPr>
      <t xml:space="preserve"> Interessante Leads, deren Laufzeitende näher rückt oder bei denen Budget-Signale vorliegen. In die Vertriebspipeline aufnehmen und Key-Accounts identifizieren.</t>
    </r>
  </si>
  <si>
    <t>📅 LANGFRISTIG</t>
  </si>
  <si>
    <r>
      <rPr>
        <b/>
        <sz val="10"/>
        <color theme="1"/>
        <rFont val="Segoe UI"/>
        <family val="2"/>
      </rPr>
      <t>Markt-Radar.</t>
    </r>
    <r>
      <rPr>
        <sz val="10"/>
        <color theme="1"/>
        <rFont val="Segoe UI"/>
        <family val="2"/>
      </rPr>
      <t xml:space="preserve"> Verträge mit längerer Restlaufzeit. Dient zur strategischen Marktübersicht (Wer hält welchen Account?) und langfristigen Gebietsplanung.</t>
    </r>
  </si>
  <si>
    <r>
      <rPr>
        <b/>
        <sz val="10"/>
        <color theme="1"/>
        <rFont val="Segoe UI"/>
        <family val="2"/>
      </rPr>
      <t>Predictive Pattern Recognition</t>
    </r>
    <r>
      <rPr>
        <sz val="10"/>
        <color theme="1"/>
        <rFont val="Segoe UI"/>
        <family val="2"/>
      </rPr>
      <t>: Prognose basierend auf einer algorithmischen Auswertung von Vergabestrukturen, Laufzeit-Historien und regulatorischen Vorgaben für IT-Rahmenverträge.</t>
    </r>
  </si>
  <si>
    <t>Consulting, Manpower, Service-Verträge.</t>
  </si>
  <si>
    <t>Server, Storage, Clients, Netzwerk-Komponenten.</t>
  </si>
  <si>
    <r>
      <t xml:space="preserve">💾 </t>
    </r>
    <r>
      <rPr>
        <b/>
        <sz val="10"/>
        <color rgb="FF334155"/>
        <rFont val="Segoe UI"/>
        <family val="2"/>
      </rPr>
      <t>Software</t>
    </r>
  </si>
  <si>
    <t>Lizenzen, Pflegeverträge, SaaS, Cloud.</t>
  </si>
  <si>
    <t>Gesamtauftragswert (Total Value) der Vergabe zum Zeitpunkt des Zuschlags.</t>
  </si>
  <si>
    <t>Disclaimer &amp; Haftungsausschluss</t>
  </si>
  <si>
    <t>Diese Daten basieren auf öffentlich zugänglichen Informationen (TED, Vergabeplattformen) sowie eigenen Marktanalysen. goVisor übernimmt keine Gewähr für die Richtigkeit, Vollständigkeit oder Aktualität der Daten. Insbesondere das Datum "Fällig*" ist eine Prognose, die auf marktüblichen Zyklen basiert; tatsächliche Laufzeiten können abweichen. Diese Liste stellt keine Rechtsberatung dar.</t>
  </si>
  <si>
    <t>© 2025 goVisor - Vertraulich &amp; nur für den Lizenznehmer.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</si>
</sst>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#,##0\ &quot;€&quot;;[Red]\-#,##0\ &quot;€&quot;"/>
    <numFmt numFmtId="44" formatCode="_-* #,##0.00\ &quot;€&quot;_-;\-* #,##0.00\ &quot;€&quot;_-;_-* &quot;-&quot;??\ &quot;€&quot;_-;_-@_-"/>
    <numFmt numFmtId="164" formatCode="_-* #,##0\ &quot;€&quot;_-;\-* #,##0\ &quot;€&quot;_-;_-* &quot;-&quot;??\ &quot;€&quot;_-;_-@_-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color theme="0"/>
      <name val="Segoe UI"/>
      <family val="2"/>
    </font>
    <font>
      <b/>
      <sz val="10"/>
      <color theme="0"/>
      <name val="Segoe UI"/>
      <family val="2"/>
    </font>
    <font>
      <sz val="10"/>
      <color rgb="FF334155"/>
      <name val="Segoe UI"/>
      <family val="2"/>
    </font>
    <font>
      <b/>
      <sz val="10"/>
      <color rgb="FF334155"/>
      <name val="Segoe UI"/>
      <family val="2"/>
    </font>
    <font>
      <sz val="8"/>
      <name val="Calibri"/>
      <family val="2"/>
      <scheme val="minor"/>
    </font>
    <font>
      <sz val="6"/>
      <color theme="1"/>
      <name val="Segoe UI"/>
      <family val="2"/>
    </font>
    <font>
      <sz val="8"/>
      <color theme="1"/>
      <name val="Segoe UI"/>
      <family val="2"/>
    </font>
    <font>
      <sz val="8"/>
      <color rgb="FF334155"/>
      <name val="Segoe UI"/>
      <family val="2"/>
    </font>
    <font>
      <b/>
      <sz val="11"/>
      <color rgb="FF10B981"/>
      <name val="Segoe UI"/>
      <family val="2"/>
    </font>
    <font>
      <b/>
      <sz val="16"/>
      <color theme="1"/>
      <name val="Segoe UI"/>
      <family val="2"/>
    </font>
    <font>
      <sz val="11"/>
      <color theme="1"/>
      <name val="Segoe UI"/>
      <family val="2"/>
    </font>
    <font>
      <b/>
      <sz val="11"/>
      <color theme="0"/>
      <name val="Segoe UI"/>
      <family val="2"/>
    </font>
    <font>
      <b/>
      <sz val="11"/>
      <color theme="0"/>
      <name val="Segou ui"/>
    </font>
    <font>
      <b/>
      <sz val="11"/>
      <color rgb="FFC2410C"/>
      <name val="Segou ui"/>
    </font>
    <font>
      <b/>
      <sz val="11"/>
      <color theme="1"/>
      <name val="Segoe UI"/>
      <family val="2"/>
    </font>
    <font>
      <sz val="11"/>
      <color rgb="FF1F1F1F"/>
      <name val="Segoe UI"/>
      <family val="2"/>
    </font>
    <font>
      <sz val="11"/>
      <color rgb="FFC00000"/>
      <name val="Segoe UI"/>
      <family val="2"/>
    </font>
    <font>
      <strike/>
      <sz val="11"/>
      <color theme="1"/>
      <name val="Segoe UI"/>
      <family val="2"/>
    </font>
    <font>
      <b/>
      <sz val="14"/>
      <color rgb="FF00B050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97316"/>
        <bgColor indexed="64"/>
      </patternFill>
    </fill>
    <fill>
      <patternFill patternType="solid">
        <fgColor rgb="FF3B82F6"/>
        <bgColor indexed="64"/>
      </patternFill>
    </fill>
    <fill>
      <patternFill patternType="solid">
        <fgColor rgb="FFFEF9C3"/>
        <bgColor indexed="64"/>
      </patternFill>
    </fill>
    <fill>
      <patternFill patternType="solid">
        <fgColor rgb="FF334155"/>
        <bgColor indexed="64"/>
      </patternFill>
    </fill>
    <fill>
      <patternFill patternType="solid">
        <fgColor rgb="FFF0FDF4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/>
      <top/>
      <bottom style="thin">
        <color rgb="FFE2E8F0"/>
      </bottom>
      <diagonal/>
    </border>
    <border>
      <left/>
      <right style="thin">
        <color theme="0"/>
      </right>
      <top style="thin">
        <color rgb="FFE2E8F0"/>
      </top>
      <bottom style="thin">
        <color rgb="FFE2E8F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rgb="FFF8FAFC"/>
      </right>
      <top style="thin">
        <color rgb="FFE2E8F0"/>
      </top>
      <bottom style="thin">
        <color rgb="FFE2E8F0"/>
      </bottom>
      <diagonal/>
    </border>
    <border>
      <left/>
      <right style="thin">
        <color rgb="FFF8FAFC"/>
      </right>
      <top style="thin">
        <color theme="0"/>
      </top>
      <bottom style="thin">
        <color theme="0"/>
      </bottom>
      <diagonal/>
    </border>
    <border>
      <left/>
      <right style="thin">
        <color rgb="FFF8FAFC"/>
      </right>
      <top style="thin">
        <color theme="0"/>
      </top>
      <bottom style="thin">
        <color rgb="FFF8FAFC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theme="0"/>
      </bottom>
      <diagonal/>
    </border>
    <border>
      <left/>
      <right/>
      <top style="thin">
        <color rgb="FFE2E8F0"/>
      </top>
      <bottom style="thin">
        <color theme="0"/>
      </bottom>
      <diagonal/>
    </border>
    <border>
      <left/>
      <right style="thin">
        <color rgb="FFE2E8F0"/>
      </right>
      <top style="thin">
        <color rgb="FFE2E8F0"/>
      </top>
      <bottom/>
      <diagonal/>
    </border>
    <border>
      <left/>
      <right/>
      <top style="thin">
        <color rgb="FFE2E8F0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64" fontId="2" fillId="0" borderId="2" xfId="1" applyNumberFormat="1" applyFont="1" applyFill="1" applyBorder="1" applyAlignment="1">
      <alignment horizontal="right" vertical="center" wrapText="1"/>
    </xf>
    <xf numFmtId="0" fontId="2" fillId="0" borderId="1" xfId="0" applyFont="1" applyBorder="1" applyAlignment="1">
      <alignment horizontal="right" vertical="center"/>
    </xf>
    <xf numFmtId="0" fontId="4" fillId="4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2" fillId="0" borderId="1" xfId="0" applyFont="1" applyBorder="1"/>
    <xf numFmtId="14" fontId="2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14" fontId="2" fillId="0" borderId="1" xfId="0" applyNumberFormat="1" applyFont="1" applyBorder="1"/>
    <xf numFmtId="0" fontId="2" fillId="0" borderId="5" xfId="0" applyFont="1" applyBorder="1"/>
    <xf numFmtId="49" fontId="3" fillId="6" borderId="6" xfId="0" applyNumberFormat="1" applyFont="1" applyFill="1" applyBorder="1" applyAlignment="1">
      <alignment horizontal="center" vertical="center"/>
    </xf>
    <xf numFmtId="49" fontId="6" fillId="3" borderId="6" xfId="0" applyNumberFormat="1" applyFont="1" applyFill="1" applyBorder="1" applyAlignment="1">
      <alignment horizontal="center" vertical="center"/>
    </xf>
    <xf numFmtId="49" fontId="6" fillId="3" borderId="7" xfId="0" applyNumberFormat="1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right" vertical="center" wrapText="1"/>
    </xf>
    <xf numFmtId="14" fontId="2" fillId="0" borderId="1" xfId="0" applyNumberFormat="1" applyFont="1" applyBorder="1" applyAlignment="1">
      <alignment horizontal="right"/>
    </xf>
    <xf numFmtId="14" fontId="10" fillId="0" borderId="0" xfId="0" applyNumberFormat="1" applyFont="1"/>
    <xf numFmtId="0" fontId="9" fillId="0" borderId="0" xfId="0" applyFont="1" applyAlignment="1">
      <alignment horizontal="right"/>
    </xf>
    <xf numFmtId="14" fontId="11" fillId="0" borderId="0" xfId="0" applyNumberFormat="1" applyFont="1" applyAlignment="1">
      <alignment horizontal="right"/>
    </xf>
    <xf numFmtId="0" fontId="11" fillId="0" borderId="0" xfId="0" applyFont="1" applyAlignment="1">
      <alignment horizontal="right"/>
    </xf>
    <xf numFmtId="0" fontId="5" fillId="2" borderId="0" xfId="0" applyFont="1" applyFill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13" fillId="0" borderId="0" xfId="0" applyFont="1"/>
    <xf numFmtId="0" fontId="0" fillId="0" borderId="0" xfId="0" applyAlignment="1">
      <alignment horizontal="left" vertical="top" wrapText="1"/>
    </xf>
    <xf numFmtId="164" fontId="2" fillId="0" borderId="0" xfId="0" applyNumberFormat="1" applyFont="1"/>
    <xf numFmtId="0" fontId="14" fillId="0" borderId="0" xfId="0" applyFont="1"/>
    <xf numFmtId="0" fontId="15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8" fillId="0" borderId="0" xfId="0" applyFont="1"/>
    <xf numFmtId="0" fontId="15" fillId="7" borderId="8" xfId="0" applyFont="1" applyFill="1" applyBorder="1" applyAlignment="1">
      <alignment horizontal="left" vertical="center"/>
    </xf>
    <xf numFmtId="0" fontId="15" fillId="7" borderId="9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5" fillId="7" borderId="10" xfId="0" applyFont="1" applyFill="1" applyBorder="1" applyAlignment="1">
      <alignment horizontal="center" vertical="center" wrapText="1" readingOrder="1"/>
    </xf>
    <xf numFmtId="0" fontId="15" fillId="7" borderId="11" xfId="0" applyFont="1" applyFill="1" applyBorder="1" applyAlignment="1">
      <alignment horizontal="right" vertical="center" wrapText="1" indent="1" readingOrder="1"/>
    </xf>
    <xf numFmtId="0" fontId="15" fillId="7" borderId="12" xfId="0" applyFont="1" applyFill="1" applyBorder="1" applyAlignment="1">
      <alignment horizontal="right" vertical="center" wrapText="1" indent="1" readingOrder="1"/>
    </xf>
    <xf numFmtId="0" fontId="15" fillId="7" borderId="12" xfId="0" applyFont="1" applyFill="1" applyBorder="1" applyAlignment="1">
      <alignment horizontal="center" vertical="center" wrapText="1" readingOrder="1"/>
    </xf>
    <xf numFmtId="0" fontId="3" fillId="0" borderId="13" xfId="0" applyFont="1" applyBorder="1"/>
    <xf numFmtId="0" fontId="4" fillId="4" borderId="2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left" vertical="top" wrapText="1"/>
    </xf>
    <xf numFmtId="0" fontId="19" fillId="0" borderId="2" xfId="0" applyFont="1" applyBorder="1" applyAlignment="1">
      <alignment horizontal="center" vertical="center" wrapText="1" readingOrder="1"/>
    </xf>
    <xf numFmtId="0" fontId="19" fillId="0" borderId="2" xfId="0" applyFont="1" applyBorder="1" applyAlignment="1">
      <alignment horizontal="right" vertical="center" wrapText="1" readingOrder="1"/>
    </xf>
    <xf numFmtId="0" fontId="20" fillId="0" borderId="2" xfId="0" applyFont="1" applyBorder="1" applyAlignment="1">
      <alignment horizontal="center" vertical="center" wrapText="1" readingOrder="1"/>
    </xf>
    <xf numFmtId="164" fontId="14" fillId="0" borderId="0" xfId="1" applyNumberFormat="1" applyFont="1" applyAlignment="1">
      <alignment horizontal="center"/>
    </xf>
    <xf numFmtId="6" fontId="19" fillId="0" borderId="2" xfId="0" applyNumberFormat="1" applyFont="1" applyBorder="1" applyAlignment="1">
      <alignment horizontal="center" vertical="center" wrapText="1" readingOrder="1"/>
    </xf>
    <xf numFmtId="0" fontId="2" fillId="0" borderId="2" xfId="0" applyFont="1" applyBorder="1" applyAlignment="1">
      <alignment wrapText="1"/>
    </xf>
    <xf numFmtId="0" fontId="2" fillId="0" borderId="0" xfId="0" applyFont="1" applyAlignment="1">
      <alignment horizontal="left" vertical="top" wrapText="1"/>
    </xf>
    <xf numFmtId="0" fontId="19" fillId="0" borderId="1" xfId="0" applyFont="1" applyBorder="1" applyAlignment="1">
      <alignment horizontal="center" vertical="center" wrapText="1" readingOrder="1"/>
    </xf>
    <xf numFmtId="0" fontId="19" fillId="0" borderId="1" xfId="0" applyFont="1" applyBorder="1" applyAlignment="1">
      <alignment horizontal="right" vertical="center" wrapText="1" readingOrder="1"/>
    </xf>
    <xf numFmtId="164" fontId="21" fillId="0" borderId="11" xfId="1" applyNumberFormat="1" applyFont="1" applyBorder="1" applyAlignment="1">
      <alignment horizontal="center"/>
    </xf>
    <xf numFmtId="6" fontId="19" fillId="0" borderId="1" xfId="0" applyNumberFormat="1" applyFont="1" applyBorder="1" applyAlignment="1">
      <alignment horizontal="center" vertical="center" wrapText="1" readingOrder="1"/>
    </xf>
    <xf numFmtId="0" fontId="3" fillId="0" borderId="0" xfId="0" applyFont="1" applyAlignment="1">
      <alignment horizontal="center" wrapText="1"/>
    </xf>
    <xf numFmtId="0" fontId="2" fillId="0" borderId="2" xfId="0" applyFont="1" applyBorder="1"/>
    <xf numFmtId="0" fontId="2" fillId="0" borderId="2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center" wrapText="1"/>
    </xf>
    <xf numFmtId="0" fontId="2" fillId="0" borderId="0" xfId="0" applyFont="1" applyAlignment="1">
      <alignment horizontal="left" vertical="top" wrapText="1"/>
    </xf>
    <xf numFmtId="0" fontId="18" fillId="8" borderId="2" xfId="0" applyFont="1" applyFill="1" applyBorder="1" applyAlignment="1">
      <alignment horizontal="center" vertical="center"/>
    </xf>
    <xf numFmtId="0" fontId="18" fillId="8" borderId="2" xfId="0" applyFont="1" applyFill="1" applyBorder="1" applyAlignment="1">
      <alignment horizontal="right" vertical="center"/>
    </xf>
    <xf numFmtId="0" fontId="22" fillId="8" borderId="2" xfId="0" applyFont="1" applyFill="1" applyBorder="1" applyAlignment="1">
      <alignment horizontal="center" vertical="center"/>
    </xf>
    <xf numFmtId="164" fontId="21" fillId="8" borderId="11" xfId="1" applyNumberFormat="1" applyFont="1" applyFill="1" applyBorder="1" applyAlignment="1">
      <alignment horizontal="center"/>
    </xf>
    <xf numFmtId="6" fontId="18" fillId="8" borderId="2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wrapText="1"/>
    </xf>
    <xf numFmtId="0" fontId="4" fillId="5" borderId="1" xfId="0" applyFont="1" applyFill="1" applyBorder="1" applyAlignment="1">
      <alignment horizontal="center"/>
    </xf>
    <xf numFmtId="0" fontId="2" fillId="0" borderId="11" xfId="0" applyFont="1" applyBorder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3" fillId="0" borderId="0" xfId="0" applyFont="1"/>
    <xf numFmtId="0" fontId="6" fillId="3" borderId="14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6" fillId="0" borderId="16" xfId="0" applyFont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/>
    </xf>
    <xf numFmtId="0" fontId="15" fillId="2" borderId="0" xfId="0" applyFont="1" applyFill="1" applyAlignment="1">
      <alignment horizontal="left" vertical="center"/>
    </xf>
    <xf numFmtId="0" fontId="2" fillId="0" borderId="0" xfId="0" applyFont="1" applyAlignment="1">
      <alignment vertical="top" wrapText="1"/>
    </xf>
    <xf numFmtId="0" fontId="11" fillId="0" borderId="0" xfId="0" applyFont="1" applyAlignment="1">
      <alignment horizontal="left"/>
    </xf>
  </cellXfs>
  <cellStyles count="2">
    <cellStyle name="Standard" xfId="0" builtinId="0"/>
    <cellStyle name="Währung" xfId="1" builtinId="4"/>
  </cellStyles>
  <dxfs count="18">
    <dxf>
      <font>
        <color theme="0"/>
      </font>
      <fill>
        <patternFill>
          <bgColor rgb="FFF97316"/>
        </patternFill>
      </fill>
    </dxf>
    <dxf>
      <font>
        <color theme="0"/>
      </font>
      <fill>
        <patternFill>
          <bgColor rgb="FF3B82F6"/>
        </patternFill>
      </fill>
    </dxf>
    <dxf>
      <font>
        <color theme="0"/>
      </font>
      <fill>
        <patternFill>
          <bgColor rgb="FF10B981"/>
        </patternFill>
      </fill>
    </dxf>
    <dxf>
      <font>
        <color theme="0"/>
      </font>
      <fill>
        <patternFill>
          <bgColor rgb="FF10B981"/>
        </patternFill>
      </fill>
    </dxf>
    <dxf>
      <font>
        <color theme="0"/>
      </font>
      <fill>
        <patternFill>
          <bgColor rgb="FFF97316"/>
        </patternFill>
      </fill>
    </dxf>
    <dxf>
      <font>
        <color theme="0"/>
      </font>
      <fill>
        <patternFill>
          <bgColor rgb="FF3B82F6"/>
        </patternFill>
      </fill>
    </dxf>
    <dxf>
      <font>
        <color theme="0"/>
      </font>
      <fill>
        <patternFill>
          <bgColor rgb="FFF97316"/>
        </patternFill>
      </fill>
    </dxf>
    <dxf>
      <font>
        <color theme="0"/>
      </font>
      <fill>
        <patternFill>
          <bgColor rgb="FF3B82F6"/>
        </patternFill>
      </fill>
    </dxf>
    <dxf>
      <font>
        <color theme="0"/>
      </font>
      <fill>
        <patternFill>
          <bgColor rgb="FF10B981"/>
        </patternFill>
      </fill>
    </dxf>
    <dxf>
      <font>
        <color theme="0"/>
      </font>
      <fill>
        <patternFill>
          <bgColor rgb="FFF97316"/>
        </patternFill>
      </fill>
    </dxf>
    <dxf>
      <font>
        <color theme="0"/>
      </font>
      <fill>
        <patternFill>
          <bgColor rgb="FF3B82F6"/>
        </patternFill>
      </fill>
    </dxf>
    <dxf>
      <font>
        <color theme="0"/>
      </font>
      <fill>
        <patternFill>
          <bgColor rgb="FF10B981"/>
        </patternFill>
      </fill>
    </dxf>
    <dxf>
      <font>
        <color theme="0"/>
      </font>
      <fill>
        <patternFill>
          <bgColor rgb="FFF97316"/>
        </patternFill>
      </fill>
    </dxf>
    <dxf>
      <font>
        <color theme="0"/>
      </font>
      <fill>
        <patternFill>
          <bgColor rgb="FF3B82F6"/>
        </patternFill>
      </fill>
    </dxf>
    <dxf>
      <font>
        <color theme="0"/>
      </font>
      <fill>
        <patternFill>
          <bgColor rgb="FF10B981"/>
        </patternFill>
      </fill>
    </dxf>
    <dxf>
      <font>
        <color theme="0"/>
      </font>
      <fill>
        <patternFill>
          <bgColor rgb="FFF97316"/>
        </patternFill>
      </fill>
    </dxf>
    <dxf>
      <font>
        <color theme="0"/>
      </font>
      <fill>
        <patternFill>
          <bgColor rgb="FF3B82F6"/>
        </patternFill>
      </fill>
    </dxf>
    <dxf>
      <font>
        <color theme="0"/>
      </font>
      <fill>
        <patternFill>
          <bgColor rgb="FF10B981"/>
        </patternFill>
      </fill>
    </dxf>
  </dxfs>
  <tableStyles count="0" defaultTableStyle="TableStyleMedium2" defaultPivotStyle="PivotStyleLight16"/>
  <colors>
    <mruColors>
      <color rgb="FF10B981"/>
      <color rgb="FF0F172A"/>
      <color rgb="FFE2E8F0"/>
      <color rgb="FFF8FAFC"/>
      <color rgb="FFF1F5F9"/>
      <color rgb="FF1E40AF"/>
      <color rgb="FFC2410C"/>
      <color rgb="FF64748B"/>
      <color rgb="FF854D0E"/>
      <color rgb="FFFEF9C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247650</xdr:colOff>
      <xdr:row>0</xdr:row>
      <xdr:rowOff>185006</xdr:rowOff>
    </xdr:from>
    <xdr:to>
      <xdr:col>3</xdr:col>
      <xdr:colOff>143054</xdr:colOff>
      <xdr:row>2</xdr:row>
      <xdr:rowOff>171450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6BCA6C07-A962-4398-9188-6EEB027818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185006"/>
          <a:ext cx="1286054" cy="3579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247650</xdr:colOff>
      <xdr:row>0</xdr:row>
      <xdr:rowOff>185006</xdr:rowOff>
    </xdr:from>
    <xdr:to>
      <xdr:col>2</xdr:col>
      <xdr:colOff>247829</xdr:colOff>
      <xdr:row>2</xdr:row>
      <xdr:rowOff>171450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E52BF4B3-833B-49FA-A6D1-71E4A9ECDF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180924"/>
          <a:ext cx="1286054" cy="3620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ello@goVisor.eu?subject=PING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hello@goVisor.eu?subject=P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03152-2087-4570-BC43-A3111573F04E}">
  <sheetPr>
    <tabColor rgb="FF334155"/>
    <pageSetUpPr autoPageBreaks="0"/>
  </sheetPr>
  <dimension ref="A1:O52"/>
  <sheetViews>
    <sheetView showGridLines="0" tabSelected="1" zoomScaleNormal="100" workbookViewId="0">
      <selection activeCell="O20" sqref="O20"/>
    </sheetView>
  </sheetViews>
  <sheetFormatPr baseColWidth="10" defaultColWidth="9.140625" defaultRowHeight="14.25"/>
  <cols>
    <col min="1" max="1" width="0.5703125" style="1" customWidth="1"/>
    <col min="2" max="2" width="6.5703125" style="1" customWidth="1"/>
    <col min="3" max="3" width="14.28515625" style="1" customWidth="1"/>
    <col min="4" max="4" width="18.85546875" style="1" customWidth="1"/>
    <col min="5" max="5" width="20" style="2" customWidth="1"/>
    <col min="6" max="7" width="22" style="1" customWidth="1"/>
    <col min="8" max="8" width="7.85546875" style="1" customWidth="1"/>
    <col min="9" max="9" width="14.5703125" style="7" customWidth="1"/>
    <col min="10" max="10" width="10.42578125" style="1" customWidth="1"/>
    <col min="11" max="11" width="18.140625" style="1" customWidth="1"/>
    <col min="12" max="12" width="19.42578125" style="1" customWidth="1"/>
    <col min="13" max="13" width="12.28515625" style="1" customWidth="1"/>
    <col min="14" max="14" width="24.85546875" style="1" customWidth="1"/>
    <col min="15" max="15" width="18" style="1" customWidth="1"/>
    <col min="16" max="16384" width="9.140625" style="1"/>
  </cols>
  <sheetData>
    <row r="1" spans="1:15" ht="15" customHeight="1">
      <c r="A1" s="28"/>
      <c r="B1" s="28"/>
      <c r="C1" s="28"/>
      <c r="F1" s="20"/>
      <c r="I1" s="20"/>
      <c r="J1" s="20"/>
      <c r="K1" s="20"/>
      <c r="L1" s="20"/>
      <c r="N1" s="22"/>
      <c r="O1" s="22" t="s">
        <v>35</v>
      </c>
    </row>
    <row r="2" spans="1:15">
      <c r="A2" s="28"/>
      <c r="B2" s="28"/>
      <c r="C2" s="28"/>
      <c r="N2" s="22"/>
      <c r="O2" s="22" t="s">
        <v>36</v>
      </c>
    </row>
    <row r="3" spans="1:15">
      <c r="A3" s="28"/>
      <c r="B3" s="28"/>
      <c r="C3" s="28"/>
      <c r="N3" s="22"/>
      <c r="O3" s="22" t="s">
        <v>38</v>
      </c>
    </row>
    <row r="4" spans="1:15">
      <c r="A4" s="28"/>
      <c r="B4" s="28"/>
      <c r="C4" s="28"/>
    </row>
    <row r="5" spans="1:15">
      <c r="H5" s="31"/>
    </row>
    <row r="6" spans="1:15" ht="25.5">
      <c r="C6" s="32" t="s">
        <v>39</v>
      </c>
      <c r="D6" s="32"/>
      <c r="E6" s="32"/>
      <c r="F6" s="32"/>
      <c r="G6" s="32"/>
      <c r="H6" s="21"/>
    </row>
    <row r="9" spans="1:15" ht="15" customHeight="1">
      <c r="C9" s="33" t="s">
        <v>40</v>
      </c>
      <c r="D9" s="33"/>
      <c r="E9" s="33"/>
      <c r="F9" s="33"/>
      <c r="G9" s="33"/>
      <c r="J9" s="34"/>
    </row>
    <row r="10" spans="1:15" ht="14.25" customHeight="1">
      <c r="C10" s="33"/>
      <c r="D10" s="33"/>
      <c r="E10" s="33"/>
      <c r="F10" s="33"/>
      <c r="G10" s="33"/>
    </row>
    <row r="11" spans="1:15" ht="14.25" customHeight="1">
      <c r="C11" s="33"/>
      <c r="D11" s="33"/>
      <c r="E11" s="33"/>
      <c r="F11" s="33"/>
      <c r="G11" s="33"/>
    </row>
    <row r="12" spans="1:15" ht="14.25" customHeight="1">
      <c r="C12" s="33"/>
      <c r="D12" s="33"/>
      <c r="E12" s="33"/>
      <c r="F12" s="33"/>
      <c r="G12" s="33"/>
    </row>
    <row r="13" spans="1:15" s="35" customFormat="1" ht="16.5">
      <c r="C13" s="36" t="s">
        <v>41</v>
      </c>
      <c r="D13" s="36"/>
      <c r="E13" s="36"/>
      <c r="F13" s="36"/>
      <c r="G13" s="36"/>
      <c r="I13" s="37" t="s">
        <v>42</v>
      </c>
      <c r="J13" s="37"/>
      <c r="K13" s="37"/>
      <c r="L13" s="37"/>
      <c r="M13" s="37"/>
      <c r="N13" s="37"/>
      <c r="O13" s="37"/>
    </row>
    <row r="14" spans="1:15" s="35" customFormat="1" ht="16.5">
      <c r="C14" s="36"/>
      <c r="D14" s="36"/>
      <c r="E14" s="36"/>
      <c r="F14" s="36"/>
      <c r="G14" s="36"/>
      <c r="I14" s="37"/>
      <c r="J14" s="37"/>
      <c r="K14" s="37"/>
      <c r="L14" s="37"/>
      <c r="M14" s="37"/>
      <c r="N14" s="37"/>
      <c r="O14" s="37"/>
    </row>
    <row r="15" spans="1:15" ht="16.5">
      <c r="C15" s="38"/>
    </row>
    <row r="16" spans="1:15" ht="16.5">
      <c r="C16" s="39" t="s">
        <v>43</v>
      </c>
      <c r="D16" s="40" t="s">
        <v>44</v>
      </c>
      <c r="E16" s="40"/>
      <c r="F16" s="40"/>
      <c r="G16" s="40"/>
      <c r="H16" s="41"/>
      <c r="I16" s="42" t="s">
        <v>45</v>
      </c>
      <c r="J16" s="43" t="s">
        <v>46</v>
      </c>
      <c r="K16" s="44" t="s">
        <v>12</v>
      </c>
      <c r="L16" s="45" t="s">
        <v>47</v>
      </c>
      <c r="M16" s="42" t="s">
        <v>48</v>
      </c>
      <c r="N16" s="42" t="s">
        <v>49</v>
      </c>
      <c r="O16" s="42" t="s">
        <v>50</v>
      </c>
    </row>
    <row r="17" spans="3:15" ht="16.5">
      <c r="C17" s="46" t="s">
        <v>0</v>
      </c>
      <c r="D17" s="47" t="s">
        <v>9</v>
      </c>
      <c r="E17" s="48" t="s">
        <v>51</v>
      </c>
      <c r="F17" s="48"/>
      <c r="G17" s="48"/>
      <c r="H17" s="41"/>
      <c r="I17" s="49" t="s">
        <v>52</v>
      </c>
      <c r="J17" s="49">
        <v>3</v>
      </c>
      <c r="K17" s="50" t="s">
        <v>53</v>
      </c>
      <c r="L17" s="51" t="s">
        <v>54</v>
      </c>
      <c r="M17" s="52">
        <v>0</v>
      </c>
      <c r="N17" s="53">
        <v>0</v>
      </c>
      <c r="O17" s="54"/>
    </row>
    <row r="18" spans="3:15" ht="16.5">
      <c r="E18" s="55"/>
      <c r="F18" s="55"/>
      <c r="G18" s="55"/>
      <c r="I18" s="56" t="s">
        <v>55</v>
      </c>
      <c r="J18" s="56">
        <v>25</v>
      </c>
      <c r="K18" s="57" t="s">
        <v>56</v>
      </c>
      <c r="L18" s="51" t="s">
        <v>54</v>
      </c>
      <c r="M18" s="58">
        <v>499</v>
      </c>
      <c r="N18" s="59">
        <v>299</v>
      </c>
      <c r="O18" s="60" t="s">
        <v>57</v>
      </c>
    </row>
    <row r="19" spans="3:15" ht="16.5">
      <c r="C19" s="61"/>
      <c r="D19" s="61"/>
      <c r="E19" s="62"/>
      <c r="F19" s="62"/>
      <c r="G19" s="62"/>
      <c r="I19" s="56" t="s">
        <v>58</v>
      </c>
      <c r="J19" s="56">
        <v>50</v>
      </c>
      <c r="K19" s="57" t="s">
        <v>59</v>
      </c>
      <c r="L19" s="51" t="s">
        <v>54</v>
      </c>
      <c r="M19" s="58">
        <v>999</v>
      </c>
      <c r="N19" s="59">
        <v>599</v>
      </c>
      <c r="O19" s="63" t="s">
        <v>57</v>
      </c>
    </row>
    <row r="20" spans="3:15" ht="18.75">
      <c r="E20" s="64"/>
      <c r="F20" s="64"/>
      <c r="G20" s="64"/>
      <c r="I20" s="65" t="s">
        <v>60</v>
      </c>
      <c r="J20" s="65">
        <v>75</v>
      </c>
      <c r="K20" s="66" t="s">
        <v>61</v>
      </c>
      <c r="L20" s="67" t="s">
        <v>62</v>
      </c>
      <c r="M20" s="68">
        <v>1499</v>
      </c>
      <c r="N20" s="69">
        <v>999</v>
      </c>
      <c r="O20" s="70" t="s">
        <v>57</v>
      </c>
    </row>
    <row r="21" spans="3:15">
      <c r="D21" s="71" t="s">
        <v>10</v>
      </c>
      <c r="E21" s="55" t="s">
        <v>63</v>
      </c>
      <c r="F21" s="55"/>
      <c r="G21" s="55"/>
      <c r="M21" s="72"/>
      <c r="O21" s="72"/>
    </row>
    <row r="22" spans="3:15">
      <c r="E22" s="55"/>
      <c r="F22" s="55"/>
      <c r="G22" s="55"/>
    </row>
    <row r="23" spans="3:15">
      <c r="E23" s="55"/>
      <c r="F23" s="55"/>
      <c r="G23" s="55"/>
    </row>
    <row r="24" spans="3:15">
      <c r="E24" s="64"/>
      <c r="F24" s="64"/>
      <c r="G24" s="64"/>
    </row>
    <row r="25" spans="3:15">
      <c r="D25" s="73" t="s">
        <v>64</v>
      </c>
      <c r="E25" s="55" t="s">
        <v>65</v>
      </c>
      <c r="F25" s="55"/>
      <c r="G25" s="55"/>
    </row>
    <row r="26" spans="3:15">
      <c r="E26" s="55"/>
      <c r="F26" s="55"/>
      <c r="G26" s="55"/>
    </row>
    <row r="27" spans="3:15">
      <c r="E27" s="55"/>
      <c r="F27" s="55"/>
      <c r="G27" s="55"/>
    </row>
    <row r="28" spans="3:15">
      <c r="C28" s="61"/>
      <c r="D28" s="61"/>
      <c r="E28" s="74"/>
      <c r="F28" s="61"/>
      <c r="G28" s="61"/>
    </row>
    <row r="29" spans="3:15">
      <c r="C29" s="75" t="s">
        <v>14</v>
      </c>
      <c r="D29" s="55" t="s">
        <v>66</v>
      </c>
      <c r="E29" s="55"/>
      <c r="F29" s="55"/>
      <c r="G29" s="55"/>
    </row>
    <row r="30" spans="3:15">
      <c r="D30" s="55"/>
      <c r="E30" s="55"/>
      <c r="F30" s="55"/>
      <c r="G30" s="55"/>
    </row>
    <row r="31" spans="3:15">
      <c r="C31" s="61"/>
      <c r="D31" s="61"/>
      <c r="E31" s="74"/>
      <c r="F31" s="61"/>
      <c r="G31" s="61"/>
    </row>
    <row r="32" spans="3:15">
      <c r="C32" s="75" t="s">
        <v>5</v>
      </c>
      <c r="D32" s="76" t="s">
        <v>8</v>
      </c>
      <c r="E32" s="77" t="s">
        <v>67</v>
      </c>
      <c r="F32" s="78"/>
      <c r="G32" s="78"/>
    </row>
    <row r="33" spans="3:15">
      <c r="D33" s="79"/>
    </row>
    <row r="34" spans="3:15">
      <c r="D34" s="80" t="s">
        <v>6</v>
      </c>
      <c r="E34" s="77" t="s">
        <v>68</v>
      </c>
      <c r="F34" s="78"/>
      <c r="G34" s="78"/>
    </row>
    <row r="35" spans="3:15">
      <c r="D35" s="79"/>
    </row>
    <row r="36" spans="3:15">
      <c r="D36" s="81" t="s">
        <v>69</v>
      </c>
      <c r="E36" s="77" t="s">
        <v>70</v>
      </c>
      <c r="F36" s="78"/>
      <c r="G36" s="78"/>
    </row>
    <row r="37" spans="3:15">
      <c r="C37" s="61"/>
      <c r="D37" s="61"/>
      <c r="E37" s="74"/>
      <c r="F37" s="61"/>
      <c r="G37" s="61"/>
    </row>
    <row r="38" spans="3:15">
      <c r="C38" s="75" t="s">
        <v>12</v>
      </c>
      <c r="D38" s="78" t="s">
        <v>71</v>
      </c>
      <c r="E38" s="78"/>
      <c r="F38" s="78"/>
      <c r="G38" s="78"/>
    </row>
    <row r="44" spans="3:15" ht="15" customHeight="1">
      <c r="C44" s="82" t="s">
        <v>72</v>
      </c>
      <c r="D44" s="82"/>
      <c r="E44" s="82"/>
      <c r="F44" s="82"/>
      <c r="G44" s="82"/>
      <c r="H44" s="82"/>
      <c r="I44" s="82"/>
      <c r="J44" s="82"/>
      <c r="K44" s="82"/>
      <c r="L44" s="82"/>
      <c r="M44" s="82"/>
      <c r="N44" s="82"/>
      <c r="O44" s="82"/>
    </row>
    <row r="45" spans="3:15" ht="16.5" customHeight="1">
      <c r="C45" s="82"/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2"/>
    </row>
    <row r="47" spans="3:15" ht="14.25" customHeight="1">
      <c r="C47" s="55" t="s">
        <v>73</v>
      </c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</row>
    <row r="48" spans="3:15"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</row>
    <row r="49" spans="3:15">
      <c r="C49" s="83"/>
      <c r="D49" s="83"/>
      <c r="E49" s="83"/>
      <c r="F49" s="83"/>
      <c r="G49" s="83"/>
      <c r="H49" s="83"/>
      <c r="I49" s="83"/>
      <c r="J49" s="83"/>
      <c r="K49" s="83"/>
      <c r="L49" s="83"/>
      <c r="M49" s="83"/>
      <c r="O49" s="83"/>
    </row>
    <row r="50" spans="3:15"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4" t="s">
        <v>74</v>
      </c>
      <c r="O50" s="83"/>
    </row>
    <row r="51" spans="3:15">
      <c r="C51" s="83"/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</row>
    <row r="52" spans="3:15"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</row>
  </sheetData>
  <mergeCells count="16">
    <mergeCell ref="D38:G38"/>
    <mergeCell ref="C44:O45"/>
    <mergeCell ref="C47:O48"/>
    <mergeCell ref="E21:G23"/>
    <mergeCell ref="E25:G27"/>
    <mergeCell ref="D29:G30"/>
    <mergeCell ref="E32:G32"/>
    <mergeCell ref="E34:G34"/>
    <mergeCell ref="E36:G36"/>
    <mergeCell ref="A1:C4"/>
    <mergeCell ref="C9:G12"/>
    <mergeCell ref="C13:G14"/>
    <mergeCell ref="I13:O14"/>
    <mergeCell ref="D16:G16"/>
    <mergeCell ref="H16:H17"/>
    <mergeCell ref="E17:G19"/>
  </mergeCells>
  <conditionalFormatting sqref="B7:C8 B16:C43 B10:B15 D17 D25 D21 I20:L20 N20 B44:B52 B53:C54 B56:C1048576 B55 N50">
    <cfRule type="containsText" dxfId="5" priority="5" operator="containsText" text="BEOBACHTEN">
      <formula>NOT(ISERROR(SEARCH("BEOBACHTEN",B7)))</formula>
    </cfRule>
    <cfRule type="containsText" dxfId="4" priority="6" operator="containsText" text="AKTIV">
      <formula>NOT(ISERROR(SEARCH("AKTIV",B7)))</formula>
    </cfRule>
  </conditionalFormatting>
  <conditionalFormatting sqref="B7:C8 B16:C43 B10:B15 D17 D25 D21 I20:L20 N20 B44:B52 B53:C54 B56:C1048576 B55 N50">
    <cfRule type="containsText" dxfId="3" priority="4" operator="containsText" text="LANGFRISTIG">
      <formula>NOT(ISERROR(SEARCH("LANGFRISTIG",B7)))</formula>
    </cfRule>
  </conditionalFormatting>
  <conditionalFormatting sqref="D32:D36">
    <cfRule type="containsText" dxfId="2" priority="1" operator="containsText" text="LANGFRISTIG">
      <formula>NOT(ISERROR(SEARCH("LANGFRISTIG",D32)))</formula>
    </cfRule>
    <cfRule type="containsText" dxfId="1" priority="2" operator="containsText" text="BEOBACHTEN">
      <formula>NOT(ISERROR(SEARCH("BEOBACHTEN",D32)))</formula>
    </cfRule>
    <cfRule type="containsText" dxfId="0" priority="3" operator="containsText" text="AKTIV">
      <formula>NOT(ISERROR(SEARCH("AKTIV",D32)))</formula>
    </cfRule>
  </conditionalFormatting>
  <hyperlinks>
    <hyperlink ref="O3" r:id="rId1" xr:uid="{C70BD471-8C34-4D40-AB98-11F7E77F13C4}"/>
  </hyperlinks>
  <pageMargins left="0.7" right="0.7" top="0.75" bottom="0.75" header="0.3" footer="0.3"/>
  <pageSetup paperSize="9" orientation="landscape" r:id="rId2"/>
  <headerFooter>
    <oddFooter>&amp;R_x000D_&amp;1#&amp;"Arial"&amp;12&amp;KFF9800 CONFIDENTIAL</oddFoot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17BBB-39B6-4A57-8841-C56C22B4295D}">
  <sheetPr>
    <tabColor rgb="FF334155"/>
    <pageSetUpPr autoPageBreaks="0" fitToPage="1"/>
  </sheetPr>
  <dimension ref="A1:N17"/>
  <sheetViews>
    <sheetView showGridLines="0" zoomScaleNormal="100" workbookViewId="0">
      <selection activeCell="D29" sqref="D29"/>
    </sheetView>
  </sheetViews>
  <sheetFormatPr baseColWidth="10" defaultColWidth="9.140625" defaultRowHeight="14.25"/>
  <cols>
    <col min="1" max="1" width="0.5703125" style="1" customWidth="1"/>
    <col min="2" max="2" width="19.28515625" style="1" customWidth="1"/>
    <col min="3" max="3" width="14.28515625" style="1" customWidth="1"/>
    <col min="4" max="4" width="35.85546875" style="1" customWidth="1"/>
    <col min="5" max="5" width="20" style="2" customWidth="1"/>
    <col min="6" max="6" width="65.85546875" style="1" customWidth="1"/>
    <col min="7" max="7" width="8.28515625" style="1" customWidth="1"/>
    <col min="8" max="8" width="50.42578125" style="1" customWidth="1"/>
    <col min="9" max="9" width="9.42578125" style="7" customWidth="1"/>
    <col min="10" max="10" width="15.5703125" style="1" customWidth="1"/>
    <col min="11" max="12" width="13.5703125" style="1" customWidth="1"/>
    <col min="13" max="13" width="40.28515625" style="1" customWidth="1"/>
    <col min="14" max="14" width="56.140625" style="1" customWidth="1"/>
    <col min="15" max="16384" width="9.140625" style="1"/>
  </cols>
  <sheetData>
    <row r="1" spans="1:14" ht="15" customHeight="1">
      <c r="A1" s="28"/>
      <c r="B1" s="28"/>
      <c r="C1" s="28"/>
      <c r="F1" s="20"/>
      <c r="G1" s="20"/>
      <c r="H1" s="20"/>
      <c r="I1" s="20"/>
      <c r="J1" s="20"/>
      <c r="K1" s="20"/>
      <c r="L1" s="20"/>
      <c r="M1" s="20"/>
      <c r="N1" s="22" t="s">
        <v>35</v>
      </c>
    </row>
    <row r="2" spans="1:14">
      <c r="A2" s="28"/>
      <c r="B2" s="28"/>
      <c r="C2" s="28"/>
      <c r="N2" s="22" t="s">
        <v>36</v>
      </c>
    </row>
    <row r="3" spans="1:14">
      <c r="A3" s="28"/>
      <c r="B3" s="28"/>
      <c r="C3" s="28"/>
      <c r="N3" s="22" t="s">
        <v>38</v>
      </c>
    </row>
    <row r="4" spans="1:14">
      <c r="A4" s="28"/>
      <c r="B4" s="28"/>
      <c r="C4" s="28"/>
    </row>
    <row r="5" spans="1:14" ht="14.25" customHeight="1">
      <c r="B5" s="29" t="s">
        <v>0</v>
      </c>
      <c r="C5" s="24" t="s">
        <v>2</v>
      </c>
      <c r="D5" s="24" t="s">
        <v>1</v>
      </c>
      <c r="E5" s="29" t="s">
        <v>5</v>
      </c>
      <c r="F5" s="24" t="s">
        <v>3</v>
      </c>
      <c r="G5" s="24" t="s">
        <v>15</v>
      </c>
      <c r="H5" s="24" t="s">
        <v>4</v>
      </c>
      <c r="I5" s="24" t="s">
        <v>11</v>
      </c>
      <c r="J5" s="24" t="s">
        <v>12</v>
      </c>
      <c r="K5" s="24" t="s">
        <v>13</v>
      </c>
      <c r="L5" s="24" t="s">
        <v>14</v>
      </c>
      <c r="M5" s="24" t="s">
        <v>29</v>
      </c>
      <c r="N5" s="24" t="s">
        <v>30</v>
      </c>
    </row>
    <row r="6" spans="1:14" ht="15" customHeight="1">
      <c r="B6" s="30"/>
      <c r="C6" s="25"/>
      <c r="D6" s="25"/>
      <c r="E6" s="30"/>
      <c r="F6" s="25"/>
      <c r="G6" s="25"/>
      <c r="H6" s="25"/>
      <c r="I6" s="25"/>
      <c r="J6" s="25"/>
      <c r="K6" s="25"/>
      <c r="L6" s="25"/>
      <c r="M6" s="25"/>
      <c r="N6" s="25"/>
    </row>
    <row r="7" spans="1:14">
      <c r="B7" s="5" t="s">
        <v>9</v>
      </c>
      <c r="C7" s="12" t="s">
        <v>24</v>
      </c>
      <c r="D7" s="9" t="s">
        <v>27</v>
      </c>
      <c r="E7" s="6" t="s">
        <v>8</v>
      </c>
      <c r="F7" s="9" t="s">
        <v>25</v>
      </c>
      <c r="G7" s="11">
        <v>3</v>
      </c>
      <c r="H7" s="14" t="s">
        <v>26</v>
      </c>
      <c r="I7" s="16">
        <v>2</v>
      </c>
      <c r="J7" s="3">
        <v>12310924</v>
      </c>
      <c r="K7" s="13">
        <v>44820</v>
      </c>
      <c r="L7" s="12" t="s">
        <v>16</v>
      </c>
      <c r="M7" s="12" t="s">
        <v>32</v>
      </c>
      <c r="N7" s="19"/>
    </row>
    <row r="8" spans="1:14">
      <c r="B8" s="5" t="s">
        <v>9</v>
      </c>
      <c r="C8" s="12" t="s">
        <v>21</v>
      </c>
      <c r="D8" s="9" t="s">
        <v>17</v>
      </c>
      <c r="E8" s="6" t="s">
        <v>6</v>
      </c>
      <c r="F8" s="9" t="s">
        <v>22</v>
      </c>
      <c r="G8" s="11">
        <v>1</v>
      </c>
      <c r="H8" s="14" t="s">
        <v>23</v>
      </c>
      <c r="I8" s="15">
        <v>1</v>
      </c>
      <c r="J8" s="3">
        <v>15000000</v>
      </c>
      <c r="K8" s="10">
        <v>44805</v>
      </c>
      <c r="L8" s="4" t="s">
        <v>16</v>
      </c>
      <c r="M8" s="4" t="s">
        <v>31</v>
      </c>
      <c r="N8" s="18"/>
    </row>
    <row r="9" spans="1:14">
      <c r="B9" s="8" t="s">
        <v>10</v>
      </c>
      <c r="C9" s="12" t="s">
        <v>18</v>
      </c>
      <c r="D9" s="9" t="s">
        <v>28</v>
      </c>
      <c r="E9" s="6" t="s">
        <v>8</v>
      </c>
      <c r="F9" s="9" t="s">
        <v>19</v>
      </c>
      <c r="G9" s="11">
        <v>1</v>
      </c>
      <c r="H9" s="9" t="s">
        <v>20</v>
      </c>
      <c r="I9" s="17">
        <v>3</v>
      </c>
      <c r="J9" s="3">
        <v>18000000</v>
      </c>
      <c r="K9" s="10">
        <v>44768</v>
      </c>
      <c r="L9" s="4" t="s">
        <v>16</v>
      </c>
      <c r="M9" s="18" t="s">
        <v>34</v>
      </c>
      <c r="N9" s="18" t="s">
        <v>33</v>
      </c>
    </row>
    <row r="10" spans="1:14">
      <c r="N10" s="21"/>
    </row>
    <row r="12" spans="1:14">
      <c r="B12" s="26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</row>
    <row r="13" spans="1:14"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</row>
    <row r="14" spans="1:14"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</row>
    <row r="16" spans="1:14">
      <c r="N16" s="21" t="s">
        <v>7</v>
      </c>
    </row>
    <row r="17" spans="14:14">
      <c r="N17" s="23" t="s">
        <v>37</v>
      </c>
    </row>
  </sheetData>
  <autoFilter ref="B6:N10" xr:uid="{00000000-0001-0000-0000-000000000000}">
    <sortState xmlns:xlrd2="http://schemas.microsoft.com/office/spreadsheetml/2017/richdata2" ref="B8:N10">
      <sortCondition ref="J6:J9"/>
    </sortState>
  </autoFilter>
  <mergeCells count="15">
    <mergeCell ref="A1:C4"/>
    <mergeCell ref="B5:B6"/>
    <mergeCell ref="C5:C6"/>
    <mergeCell ref="D5:D6"/>
    <mergeCell ref="E5:E6"/>
    <mergeCell ref="N5:N6"/>
    <mergeCell ref="B12:N14"/>
    <mergeCell ref="M5:M6"/>
    <mergeCell ref="F5:F6"/>
    <mergeCell ref="G5:G6"/>
    <mergeCell ref="H5:H6"/>
    <mergeCell ref="J5:J6"/>
    <mergeCell ref="K5:K6"/>
    <mergeCell ref="L5:L6"/>
    <mergeCell ref="I5:I6"/>
  </mergeCells>
  <phoneticPr fontId="8" type="noConversion"/>
  <conditionalFormatting sqref="B5:C5">
    <cfRule type="containsText" dxfId="17" priority="241" operator="containsText" text="LANGFRISTIG">
      <formula>NOT(ISERROR(SEARCH("LANGFRISTIG",B5)))</formula>
    </cfRule>
    <cfRule type="containsText" dxfId="16" priority="242" operator="containsText" text="BEOBACHTEN">
      <formula>NOT(ISERROR(SEARCH("BEOBACHTEN",B5)))</formula>
    </cfRule>
    <cfRule type="containsText" dxfId="15" priority="243" operator="containsText" text="AKTIV">
      <formula>NOT(ISERROR(SEARCH("AKTIV",B5)))</formula>
    </cfRule>
  </conditionalFormatting>
  <conditionalFormatting sqref="B7:C9 B11:C11 B12 B15:C1048576">
    <cfRule type="containsText" dxfId="14" priority="208" operator="containsText" text="LANGFRISTIG">
      <formula>NOT(ISERROR(SEARCH("LANGFRISTIG",B7)))</formula>
    </cfRule>
    <cfRule type="containsText" dxfId="13" priority="209" operator="containsText" text="BEOBACHTEN">
      <formula>NOT(ISERROR(SEARCH("BEOBACHTEN",B7)))</formula>
    </cfRule>
    <cfRule type="containsText" dxfId="12" priority="210" operator="containsText" text="AKTIV">
      <formula>NOT(ISERROR(SEARCH("AKTIV",B7)))</formula>
    </cfRule>
  </conditionalFormatting>
  <conditionalFormatting sqref="E7:E9 G7:G9">
    <cfRule type="containsText" dxfId="11" priority="214" operator="containsText" text="LANGFRISTIG">
      <formula>NOT(ISERROR(SEARCH("LANGFRISTIG",E7)))</formula>
    </cfRule>
    <cfRule type="containsText" dxfId="10" priority="215" operator="containsText" text="BEOBACHTEN">
      <formula>NOT(ISERROR(SEARCH("BEOBACHTEN",E7)))</formula>
    </cfRule>
    <cfRule type="containsText" dxfId="9" priority="216" operator="containsText" text="AKTIV">
      <formula>NOT(ISERROR(SEARCH("AKTIV",E7)))</formula>
    </cfRule>
  </conditionalFormatting>
  <conditionalFormatting sqref="I7:I8">
    <cfRule type="containsText" dxfId="8" priority="187" operator="containsText" text="LANGFRISTIG">
      <formula>NOT(ISERROR(SEARCH("LANGFRISTIG",I7)))</formula>
    </cfRule>
    <cfRule type="containsText" dxfId="7" priority="188" operator="containsText" text="BEOBACHTEN">
      <formula>NOT(ISERROR(SEARCH("BEOBACHTEN",I7)))</formula>
    </cfRule>
    <cfRule type="containsText" dxfId="6" priority="189" operator="containsText" text="AKTIV">
      <formula>NOT(ISERROR(SEARCH("AKTIV",I7)))</formula>
    </cfRule>
  </conditionalFormatting>
  <hyperlinks>
    <hyperlink ref="N3" r:id="rId1" xr:uid="{0E407FF0-3D44-4548-A8AB-DB3C8A5D22E6}"/>
  </hyperlinks>
  <pageMargins left="0.7" right="0.7" top="0.75" bottom="0.75" header="0.3" footer="0.3"/>
  <pageSetup paperSize="8" scale="53" orientation="landscape" r:id="rId2"/>
  <headerFooter>
    <oddFooter>&amp;R_x000D_&amp;1#&amp;"Arial"&amp;12&amp;KFF9800 CONFIDENTIAL</odd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READ ME</vt:lpstr>
      <vt:lpstr>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Kotzur, Sven</dc:creator>
  <cp:lastModifiedBy>Kotzur, Sven</cp:lastModifiedBy>
  <cp:lastPrinted>2025-12-06T22:47:25Z</cp:lastPrinted>
  <dcterms:created xsi:type="dcterms:W3CDTF">2015-06-05T18:19:34Z</dcterms:created>
  <dcterms:modified xsi:type="dcterms:W3CDTF">2025-12-11T21:45:28Z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62c8c9-62d5-4508-990f-5e091a0d921e_Enabled">
    <vt:lpwstr>true</vt:lpwstr>
  </property>
  <property fmtid="{D5CDD505-2E9C-101B-9397-08002B2CF9AE}" pid="3" name="MSIP_Label_8a62c8c9-62d5-4508-990f-5e091a0d921e_SetDate">
    <vt:lpwstr>2025-12-02T08:34:46Z</vt:lpwstr>
  </property>
  <property fmtid="{D5CDD505-2E9C-101B-9397-08002B2CF9AE}" pid="4" name="MSIP_Label_8a62c8c9-62d5-4508-990f-5e091a0d921e_Method">
    <vt:lpwstr>Standard</vt:lpwstr>
  </property>
  <property fmtid="{D5CDD505-2E9C-101B-9397-08002B2CF9AE}" pid="5" name="MSIP_Label_8a62c8c9-62d5-4508-990f-5e091a0d921e_Name">
    <vt:lpwstr>confidential</vt:lpwstr>
  </property>
  <property fmtid="{D5CDD505-2E9C-101B-9397-08002B2CF9AE}" pid="6" name="MSIP_Label_8a62c8c9-62d5-4508-990f-5e091a0d921e_SiteId">
    <vt:lpwstr>7106b467-21bb-484c-9e4d-75fc460bec04</vt:lpwstr>
  </property>
  <property fmtid="{D5CDD505-2E9C-101B-9397-08002B2CF9AE}" pid="7" name="MSIP_Label_8a62c8c9-62d5-4508-990f-5e091a0d921e_ActionId">
    <vt:lpwstr>50ec0a30-12fc-44d6-921e-9a04ad77e3b4</vt:lpwstr>
  </property>
  <property fmtid="{D5CDD505-2E9C-101B-9397-08002B2CF9AE}" pid="8" name="MSIP_Label_8a62c8c9-62d5-4508-990f-5e091a0d921e_ContentBits">
    <vt:lpwstr>2</vt:lpwstr>
  </property>
  <property fmtid="{D5CDD505-2E9C-101B-9397-08002B2CF9AE}" pid="9" name="MSIP_Label_8a62c8c9-62d5-4508-990f-5e091a0d921e_Tag">
    <vt:lpwstr>10, 3, 0, 1</vt:lpwstr>
  </property>
</Properties>
</file>