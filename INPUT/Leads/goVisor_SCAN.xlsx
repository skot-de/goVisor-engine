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vorwerkholding-my.sharepoint.com/personal/sven_kotzur_vorwerk_de/Documents/Desktop/goVisor/Leads/"/>
    </mc:Choice>
  </mc:AlternateContent>
  <xr:revisionPtr revIDLastSave="1807" documentId="11_AD4DB114E441178AC67DF4AA7691DAC6693EDF1A" xr6:coauthVersionLast="47" xr6:coauthVersionMax="47" xr10:uidLastSave="{1E693989-EBDC-45F4-852F-CFFA7351E96C}"/>
  <bookViews>
    <workbookView xWindow="58260" yWindow="1170" windowWidth="28605" windowHeight="14925" xr2:uid="{00000000-000D-0000-FFFF-FFFF00000000}"/>
  </bookViews>
  <sheets>
    <sheet name="READ ME" sheetId="6" r:id="rId1"/>
    <sheet name="SCAN" sheetId="5" r:id="rId2"/>
  </sheets>
  <definedNames>
    <definedName name="_xlnm._FilterDatabase" localSheetId="0" hidden="1">'READ ME'!#REF!</definedName>
    <definedName name="_xlnm._FilterDatabase" localSheetId="1" hidden="1">SCAN!$B$6:$N$59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<sst xmlns="http://schemas.openxmlformats.org/spreadsheetml/2006/main" count="558" uniqueCount="307">
  <si>
    <t>Status</t>
  </si>
  <si>
    <t>Auftraggeber</t>
  </si>
  <si>
    <t>Auftrags ID</t>
  </si>
  <si>
    <t>Auftragsgegenstand</t>
  </si>
  <si>
    <t>Aktueller Dienstleister</t>
  </si>
  <si>
    <t>Kategorie</t>
  </si>
  <si>
    <r>
      <t xml:space="preserve">💻 </t>
    </r>
    <r>
      <rPr>
        <b/>
        <sz val="10"/>
        <color rgb="FF334155"/>
        <rFont val="Segoe UI"/>
        <family val="2"/>
      </rPr>
      <t>Hardware</t>
    </r>
  </si>
  <si>
    <r>
      <t xml:space="preserve">💾 </t>
    </r>
    <r>
      <rPr>
        <b/>
        <sz val="10"/>
        <color rgb="FF334155"/>
        <rFont val="Segoe UI"/>
        <family val="2"/>
      </rPr>
      <t>Software</t>
    </r>
  </si>
  <si>
    <t>* Prognostiziertes Datum basierend auf historischer Laufzeit.</t>
  </si>
  <si>
    <t>Computacenter AG &amp; Co. oHG</t>
  </si>
  <si>
    <t>Bechtle GmbH IT Systemhaus Saarbrücken</t>
  </si>
  <si>
    <t>Rahmenvereinbarung über Lieferung von Cisco Netzwerktechnik</t>
  </si>
  <si>
    <t>DTS Systeme GmbH</t>
  </si>
  <si>
    <t>Rahmenvertrag Netzwerksicherheitsprodukte</t>
  </si>
  <si>
    <t>478608-2022</t>
  </si>
  <si>
    <t>723549-2022</t>
  </si>
  <si>
    <t>224378-2022</t>
  </si>
  <si>
    <r>
      <t xml:space="preserve">🛠 </t>
    </r>
    <r>
      <rPr>
        <b/>
        <sz val="10"/>
        <color rgb="FF334155"/>
        <rFont val="Segoe UI"/>
        <family val="2"/>
      </rPr>
      <t>Dienstleistung</t>
    </r>
  </si>
  <si>
    <t>Unterstützungsleistungen für die vorhandene Software DiAs NRW</t>
  </si>
  <si>
    <t>🔥 AKQUISE</t>
  </si>
  <si>
    <t>CANCOM GmbH</t>
  </si>
  <si>
    <t>HZD (Land Hessen)</t>
  </si>
  <si>
    <t>👀 PIPELINE</t>
  </si>
  <si>
    <t>Bieter</t>
  </si>
  <si>
    <t>1-3</t>
  </si>
  <si>
    <t>359349-2022</t>
  </si>
  <si>
    <t>Split-Vendor (IBM Deutschland, EntServ)</t>
  </si>
  <si>
    <t>1-2</t>
  </si>
  <si>
    <t>BearingPoint GmbH</t>
  </si>
  <si>
    <t>325056-2022</t>
  </si>
  <si>
    <t>Charité Berlin / Uniklinikum Würzburg</t>
  </si>
  <si>
    <t>Hewlett-Packard GmbH (Direkt)</t>
  </si>
  <si>
    <t xml:space="preserve">Beschaffungsamt des BMI </t>
  </si>
  <si>
    <t>ITDZ Berlin</t>
  </si>
  <si>
    <t>Accenture GmbH</t>
  </si>
  <si>
    <t>ProVitako eG</t>
  </si>
  <si>
    <t>Volumen</t>
  </si>
  <si>
    <t>Vergabe</t>
  </si>
  <si>
    <t>Fällig*</t>
  </si>
  <si>
    <t>IT.NRW</t>
  </si>
  <si>
    <t>ITZD Berlin</t>
  </si>
  <si>
    <t>RZF NRW</t>
  </si>
  <si>
    <t>EZB</t>
  </si>
  <si>
    <t>DPMA</t>
  </si>
  <si>
    <t>Lose</t>
  </si>
  <si>
    <t xml:space="preserve">RV HPE Server- &amp; Speicherstruktur </t>
  </si>
  <si>
    <t>RV Softwareentwicklung Fachsysteme (Patente, Marken, Design)</t>
  </si>
  <si>
    <t>2026 Q1</t>
  </si>
  <si>
    <t>2026 Q2</t>
  </si>
  <si>
    <t>2025 Q4</t>
  </si>
  <si>
    <t>2026 Q3</t>
  </si>
  <si>
    <t>2026 Q4</t>
  </si>
  <si>
    <t>2027 Q4</t>
  </si>
  <si>
    <t>2027 Q3</t>
  </si>
  <si>
    <t>Beschaffungsamt des BMI</t>
  </si>
  <si>
    <t>527368-2022</t>
  </si>
  <si>
    <t>Digitale Förderplattform des Bundes (Entwicklung &amp; Betrieb)</t>
  </si>
  <si>
    <t>BMWK</t>
  </si>
  <si>
    <t>geschaeftsstelle@provitako.de</t>
  </si>
  <si>
    <t>vergabestelle@hzd.hessen.de</t>
  </si>
  <si>
    <t>ausschreibungen@itdz-berlin.de</t>
  </si>
  <si>
    <t>vergabestelle@dpma.de</t>
  </si>
  <si>
    <t>zib@bescha.bund.de</t>
  </si>
  <si>
    <t>vergabe@tlrz.thueringen.de</t>
  </si>
  <si>
    <t>Vergabe-5011@fv.nrw.de</t>
  </si>
  <si>
    <t>572752-2022</t>
  </si>
  <si>
    <t>RV Personaldienstleistungen / AÜG (6 Lose: IT, PM, Kaufmännisch)</t>
  </si>
  <si>
    <t>Multi-Vendor (CANCOM, Manpower, Hays, Randstad u.a.)</t>
  </si>
  <si>
    <t>6-14</t>
  </si>
  <si>
    <t>341179-2022</t>
  </si>
  <si>
    <t>RV IT-Dienstleistungen (42 Lose: Java, QS, PM)</t>
  </si>
  <si>
    <t>Multi-Vendor (adesso, MT AG, Microtronix u.a.)</t>
  </si>
  <si>
    <t>1-4</t>
  </si>
  <si>
    <t>2-3</t>
  </si>
  <si>
    <t>273902-2022</t>
  </si>
  <si>
    <t>RV VMware Produkte &amp; Lizenzen (vSphere, vSAN, Kubernetes)</t>
  </si>
  <si>
    <t>SVA System Vertrieb Alexander GmbH</t>
  </si>
  <si>
    <t>667553-2022</t>
  </si>
  <si>
    <t>RV Software-Paketierung (MECM / SCCM)</t>
  </si>
  <si>
    <t>Split-Vendor (Trans4mation, Swiss IT, SINC)</t>
  </si>
  <si>
    <t>12969-2022</t>
  </si>
  <si>
    <t>RV Technische Beratung Digitalfunk &amp; Info-Sicherheit (2 Lose)</t>
  </si>
  <si>
    <t>IABG mbH (Alle Lose)</t>
  </si>
  <si>
    <t>693535-2022</t>
  </si>
  <si>
    <t>Freistaat Bayern (Uni Würzburg)</t>
  </si>
  <si>
    <t>RV Apple Hardware (iPhones &amp; Education für Unis Bayern)</t>
  </si>
  <si>
    <t>464240-2022</t>
  </si>
  <si>
    <t>RV Unified Communications (Cisco VoIP/Video)</t>
  </si>
  <si>
    <t>469482-2022</t>
  </si>
  <si>
    <t>RV Cloud-Video-Collaboration (Sicher &amp; DSGVO-konform)</t>
  </si>
  <si>
    <t>T-Systems International GmbH</t>
  </si>
  <si>
    <t>114908-2022</t>
  </si>
  <si>
    <t>RV HashiCorp Vault Lizenzen &amp; Services (Security)</t>
  </si>
  <si>
    <t>269425-2022</t>
  </si>
  <si>
    <t>Bayerisches Landesamt für Steuern</t>
  </si>
  <si>
    <t>RV Rack-Server (Standard &amp; Advanced)</t>
  </si>
  <si>
    <t>Deutsche Telekom Individual Solutions &amp; Products GmbH</t>
  </si>
  <si>
    <t>690051-2022</t>
  </si>
  <si>
    <t>Marktstammdatenregister (Betrieb, Hosting &amp; Weiterentwicklung)</t>
  </si>
  <si>
    <t>Regiocom SE</t>
  </si>
  <si>
    <t>129894-2022</t>
  </si>
  <si>
    <t>Die Autobahn GmbH des Bundes</t>
  </si>
  <si>
    <t>RV IT-Architektur &amp; Betrieb (11 Lose: M365, Citrix, Cisco, Security)</t>
  </si>
  <si>
    <t>Multi-Vendor (Bechtle, Computacenter, SVA, Atos u.a.)</t>
  </si>
  <si>
    <t>1-7</t>
  </si>
  <si>
    <t>184416-2022</t>
  </si>
  <si>
    <t>RV Telearbeit / VPN &amp; Security (3 Lose: NCP, Zertifikate, RSA Token)</t>
  </si>
  <si>
    <t>Split-Vendor (Telekom Security dominant, NTT)</t>
  </si>
  <si>
    <t>174276-2022</t>
  </si>
  <si>
    <t>RV Dokumentenmanagement-System (E-Akte / DMS 4.0)</t>
  </si>
  <si>
    <t>Fabasoft Deutschland GmbH</t>
  </si>
  <si>
    <t>237317-2022</t>
  </si>
  <si>
    <t>RV Anwendungsentwicklung Java / .NET (4 Lose)</t>
  </si>
  <si>
    <t>Split-Vendor (SINC GmbH dominant, CGI)</t>
  </si>
  <si>
    <t>10-14</t>
  </si>
  <si>
    <t>633055-2022</t>
  </si>
  <si>
    <t>RV IT-Standardausstattung (Notebooks, Tablets, Monitore weltweit)</t>
  </si>
  <si>
    <t>Arktis IT solutions GmbH</t>
  </si>
  <si>
    <t>418715-2022</t>
  </si>
  <si>
    <t>RV Software-Anforderungsmanagement &amp; Systemanalyse (Los 2: Restliche Verwaltung)</t>
  </si>
  <si>
    <t>msg systems ag</t>
  </si>
  <si>
    <t>660886-2022</t>
  </si>
  <si>
    <t>Digital Euro Consultancy (Design &amp; Realisation)</t>
  </si>
  <si>
    <t>Multi-Vendor (Accenture, BearingPoint, Deloitte, Oliver Wyman, Roland Berger)</t>
  </si>
  <si>
    <t>40547-2022</t>
  </si>
  <si>
    <t>LZPD NRW (Polizei NRW)</t>
  </si>
  <si>
    <t>RV Hochverfügbarkeitssysteme (HPE Server/Storage)</t>
  </si>
  <si>
    <t>Hewlett-Packard GmbH (Direktvergabe)</t>
  </si>
  <si>
    <t>552584-2022</t>
  </si>
  <si>
    <t>RV Clients, Notebooks &amp; Tablets (3 Lose: Win, iOS, Monitore)</t>
  </si>
  <si>
    <t>Split-Vendor (Bechtle direct, REDNET)</t>
  </si>
  <si>
    <t>2-4</t>
  </si>
  <si>
    <t>569763-2022</t>
  </si>
  <si>
    <t>RV IT-Verfahrensbetrieb &amp; Problemmanagement (2 Lose: HMdIS/HMSI)</t>
  </si>
  <si>
    <t>SINC GmbH (Alle Lose)</t>
  </si>
  <si>
    <t>667972-2022</t>
  </si>
  <si>
    <t>RV Betrieb &amp; Hosting BW-Informationssystem (SAP/VMware)</t>
  </si>
  <si>
    <t>DATAGROUP Business Solutions GmbH</t>
  </si>
  <si>
    <t>656949-2022</t>
  </si>
  <si>
    <t>DGUV (Unfallversicherung)</t>
  </si>
  <si>
    <t>RV Anwendungsentwicklung &amp; Modernisierung (Oracle zu Java)</t>
  </si>
  <si>
    <t>Capgemini Deutschland GmbH</t>
  </si>
  <si>
    <t>395103-2022</t>
  </si>
  <si>
    <t>RV OZG-Umsetzung (Los 3: Geschäftsbereich BMI)</t>
  </si>
  <si>
    <t>612158-2022</t>
  </si>
  <si>
    <t>RV IT-Delivery Management (Personalgestellung)</t>
  </si>
  <si>
    <t>Hays AG</t>
  </si>
  <si>
    <t>67023-2022</t>
  </si>
  <si>
    <t>RV IT-Personalüberlassung / AÜG (30 Lose)</t>
  </si>
  <si>
    <t>Multi-Vendor (SThree, Hofmann, RS Group u.a.)</t>
  </si>
  <si>
    <t>504775-2022</t>
  </si>
  <si>
    <t>RV Data Center LAN (Arista Networks Hardware)</t>
  </si>
  <si>
    <t>Controlware GmbH</t>
  </si>
  <si>
    <t>1-6</t>
  </si>
  <si>
    <t>339313-2022</t>
  </si>
  <si>
    <t>Friedrich-Schiller-Universität Jena</t>
  </si>
  <si>
    <t>Einführung ERP-System (Finanzen/Personal/Beschaffung)</t>
  </si>
  <si>
    <t>IBM Deutschland GmbH</t>
  </si>
  <si>
    <t>649346-2022</t>
  </si>
  <si>
    <t>RV Berliner Landesnetz (Extreme Networks Hardware &amp; Service)</t>
  </si>
  <si>
    <t>ARKTIS IT solutions GmbH</t>
  </si>
  <si>
    <t>684913-2022</t>
  </si>
  <si>
    <t>RV RZ-Betrieb Mainframe-Anwendungen (Hosting &amp; Wartung)</t>
  </si>
  <si>
    <t>Atos Information Technology GmbH</t>
  </si>
  <si>
    <t>127876-2022</t>
  </si>
  <si>
    <t>RV Storage/SAN/Backup (3 Lose) mit Mini-Wettbewerb</t>
  </si>
  <si>
    <t>Multi-Vendor (SVA, Bechtle, netgo, Profi, H&amp;G)</t>
  </si>
  <si>
    <t>13-19</t>
  </si>
  <si>
    <t>186593-2022</t>
  </si>
  <si>
    <t>RV Microsoft Business &amp; Service Agreement (Lizenzen &amp; Support)</t>
  </si>
  <si>
    <t>Crayon Deutschland GmbH</t>
  </si>
  <si>
    <t>298044-2022</t>
  </si>
  <si>
    <t>Freistaat Thüringen (Finanzministerium)</t>
  </si>
  <si>
    <t>RV Microsoft Handelspartner (Volumenlizenzen &amp; Services)</t>
  </si>
  <si>
    <t>Fujitsu Technology Solutions GmbH</t>
  </si>
  <si>
    <t>500944-2022</t>
  </si>
  <si>
    <t>RV Check Point Firewalls (Lieferung &amp; Support)</t>
  </si>
  <si>
    <t>NTT Germany AG &amp; Co. KG (Direktvergabe)</t>
  </si>
  <si>
    <t>BG-Phoenics GmbH</t>
  </si>
  <si>
    <t>271453-2022</t>
  </si>
  <si>
    <t>RV Weiterentwicklung BISAM-EFRE (Fördermittel-Datenbank)</t>
  </si>
  <si>
    <t>Proximity Technology GmbH (Direktvergabe)</t>
  </si>
  <si>
    <t>533199-2022</t>
  </si>
  <si>
    <t>TH Mittelhessen (für 4 Hochschulen)</t>
  </si>
  <si>
    <t>RV HPE Netzwerkkomponenten (LAN/WLAN)</t>
  </si>
  <si>
    <t>OFM Netzwerk &amp; Systemtechnik GmbH</t>
  </si>
  <si>
    <t>687981-2022</t>
  </si>
  <si>
    <t>RV Low-Code-Entwicklungsplattform (Pega Lizenzen &amp; Services)</t>
  </si>
  <si>
    <t>Pegasystems Ltd.</t>
  </si>
  <si>
    <t>136007-2022</t>
  </si>
  <si>
    <t>Stadt Duisburg (Hauptamt)</t>
  </si>
  <si>
    <t>Digitalisierung Hausaktenarchiv (Bauakten Scanning)</t>
  </si>
  <si>
    <t>Rhenus Docs to Data GmbH</t>
  </si>
  <si>
    <t>727828-2022</t>
  </si>
  <si>
    <t>Upgrade Kofax Total Agility (Lizenzen &amp; Migration)</t>
  </si>
  <si>
    <t>softgate gmbh</t>
  </si>
  <si>
    <t>683426-2022</t>
  </si>
  <si>
    <t>Pfalzklinikum AdöR</t>
  </si>
  <si>
    <t>RV Microsoft Handelspartner (Select Plus / BMI Konditionen)</t>
  </si>
  <si>
    <t>Bechtle-Comsoft GmbH</t>
  </si>
  <si>
    <t>553816-2022</t>
  </si>
  <si>
    <t>Online-Kommunikation Bundesregierung (CMS CoreMedia, DAM, Hosting)</t>
  </si>
  <si>
    <t>Split-Vendor (Babiel GmbH, init AG)</t>
  </si>
  <si>
    <t>44456-2022</t>
  </si>
  <si>
    <t>RV Softwareentwicklung Natural / Adabas (Legacy)</t>
  </si>
  <si>
    <t>SAG Deutschland GmbH (Software AG)</t>
  </si>
  <si>
    <t>472085-2022</t>
  </si>
  <si>
    <t>RV SAP-Beratung &amp; Portalentwicklung (Claims Management)</t>
  </si>
  <si>
    <t>Split-Vendor (SAP Deutschland, Hays AG)</t>
  </si>
  <si>
    <t>353817-2022</t>
  </si>
  <si>
    <t>Uni Kassel (für Hessische Hochschulen)</t>
  </si>
  <si>
    <t>RV Cisco Netzwerkkomponenten (Hessische Hochschulen)</t>
  </si>
  <si>
    <t>NTT Germany AG &amp; Co. KG</t>
  </si>
  <si>
    <t>454432-2022</t>
  </si>
  <si>
    <t>ZUG gGmbH (für BMUV)</t>
  </si>
  <si>
    <t>Green AI Hub (KI-Entwicklung &amp; Transfer für Mittelstand)</t>
  </si>
  <si>
    <t>DFKI GmbH</t>
  </si>
  <si>
    <t>BImA</t>
  </si>
  <si>
    <t>BNetzA</t>
  </si>
  <si>
    <t>BPA</t>
  </si>
  <si>
    <t>BVVG</t>
  </si>
  <si>
    <t xml:space="preserve">DLR </t>
  </si>
  <si>
    <t xml:space="preserve">DIKOM Brandenburg </t>
  </si>
  <si>
    <t xml:space="preserve">GIZ </t>
  </si>
  <si>
    <t xml:space="preserve">GKD Recklinghausen </t>
  </si>
  <si>
    <t>MWIDE NRW</t>
  </si>
  <si>
    <t>SVLFG</t>
  </si>
  <si>
    <t>Kontakt Mail (Vergabe)</t>
  </si>
  <si>
    <t>Decision Maker / Ansprechpartner</t>
  </si>
  <si>
    <t>vergabe@mdr.de</t>
  </si>
  <si>
    <t>iris.argyriadou@ra-argyriadou.de</t>
  </si>
  <si>
    <t>B15.35@bescha.bund.de</t>
  </si>
  <si>
    <t>ausschreibungen@it.nrw.de</t>
  </si>
  <si>
    <t>ausschreibung@bg-phoenics.de</t>
  </si>
  <si>
    <t>procurement@ecb.europa.eu</t>
  </si>
  <si>
    <t>vergabe@dataport.de</t>
  </si>
  <si>
    <t>ausschreibung@lfst.bayern.de</t>
  </si>
  <si>
    <t>zentrale-Vergabestelle@mwide.nrw.de</t>
  </si>
  <si>
    <t>zentrale-vergabestelle-vol@charite.de</t>
  </si>
  <si>
    <t>vergabestelle@uni-jena.de</t>
  </si>
  <si>
    <t>vergaben-itsc@haw-hamburg.de</t>
  </si>
  <si>
    <t>e-vergabe@uni-kassel.de</t>
  </si>
  <si>
    <t>tdza4.2.Vergabe.lzpd@polizei.nrw.de</t>
  </si>
  <si>
    <t>Team-kdn@twobirds.com</t>
  </si>
  <si>
    <t>vergabestelle@z-u-g.org</t>
  </si>
  <si>
    <t>ausschreibung@svlfg.de</t>
  </si>
  <si>
    <t>TDZA42Vergabe.LZPD@polizei.nrw.de</t>
  </si>
  <si>
    <t>alexander.fink@pd-g.de</t>
  </si>
  <si>
    <t>e-vergabe@verw.thm.de</t>
  </si>
  <si>
    <t>vergabe@dikom-bb.de</t>
  </si>
  <si>
    <t>vergabe@bpa.bund.de</t>
  </si>
  <si>
    <t>Vergaberecht.J@dguv.de</t>
  </si>
  <si>
    <t>KFM@psg.pfalzklinikum.de</t>
  </si>
  <si>
    <t>vergabestelle@bvvg.de</t>
  </si>
  <si>
    <t>verdingung@bundesimmobilien.de</t>
  </si>
  <si>
    <t>vergabe@uni-mainz.de</t>
  </si>
  <si>
    <t>vergabestelle@bwfps.de</t>
  </si>
  <si>
    <t>vergabe@kdn.de</t>
  </si>
  <si>
    <t>vergabestelle@gkd-re.de</t>
  </si>
  <si>
    <t>Dirk Eltus (dirk.eltus@dlr.de)</t>
  </si>
  <si>
    <t>657594-2022</t>
  </si>
  <si>
    <t>BImA (Bundesimmobilien)</t>
  </si>
  <si>
    <t>RV IT-Consulting &amp; Betrieb (Strategie/Support)</t>
  </si>
  <si>
    <t>2025 Q3</t>
  </si>
  <si>
    <t>395124-2022</t>
  </si>
  <si>
    <t>Beschaffungsamt des BMI (für BMVI)</t>
  </si>
  <si>
    <t>RV OZG-Umsetzung (Los 5: Geschäftsbereich BMVI)</t>
  </si>
  <si>
    <t>12</t>
  </si>
  <si>
    <t>Nur im X-RAY Paket enthalten.</t>
  </si>
  <si>
    <t>Status: Q4 2025</t>
  </si>
  <si>
    <t>hello@goVisor.eu</t>
  </si>
  <si>
    <t>© 2025 goVisor - Vertraulich &amp; nur für den Lizenznehmer.</t>
  </si>
  <si>
    <t>Edition: SCAN</t>
  </si>
  <si>
    <t>Predictive Sales Intelligence (Status: Q4 2025)</t>
  </si>
  <si>
    <t>Vielen Dank für den Erwerb dieses Data Intelligence Reports. Diese Liste beinhaltet identifizierte IT-Rahmenverträge der öffentlichen Hand, deren Laufzeitende im Prognosezeitraum ansteht.</t>
  </si>
  <si>
    <t>Legende &amp; Erläuterungen</t>
  </si>
  <si>
    <r>
      <rPr>
        <b/>
        <sz val="11"/>
        <color rgb="FFC2410C"/>
        <rFont val="Segou ui"/>
      </rPr>
      <t xml:space="preserve">UPGRADE  </t>
    </r>
    <r>
      <rPr>
        <b/>
        <sz val="11"/>
        <color theme="0"/>
        <rFont val="Segou ui"/>
      </rPr>
      <t xml:space="preserve"> Wählen Sie Ihren Marktzugang</t>
    </r>
  </si>
  <si>
    <t>Spalte</t>
  </si>
  <si>
    <t>Erläuterung</t>
  </si>
  <si>
    <t>Paket</t>
  </si>
  <si>
    <t>Leads</t>
  </si>
  <si>
    <t>Decision Maker</t>
  </si>
  <si>
    <t>Preis</t>
  </si>
  <si>
    <t>Launch Deal</t>
  </si>
  <si>
    <t>Zum Paket</t>
  </si>
  <si>
    <r>
      <rPr>
        <b/>
        <sz val="10"/>
        <color theme="1"/>
        <rFont val="Segoe UI"/>
        <family val="2"/>
      </rPr>
      <t>Sofortige Action.</t>
    </r>
    <r>
      <rPr>
        <sz val="10"/>
        <color theme="1"/>
        <rFont val="Segoe UI"/>
        <family val="2"/>
      </rPr>
      <t xml:space="preserve"> Der Rahmenvertrag läuft im Prognosezeitraum (nächste 12–18 Monate) aus. Die "Capture Phase" (Vor-Akquise) muss jetzt beginnen, bevor die Ausschreibung veröffentlicht wird.</t>
    </r>
  </si>
  <si>
    <t>PING</t>
  </si>
  <si>
    <t>&gt; 50 Mio. €</t>
  </si>
  <si>
    <t xml:space="preserve">❌ </t>
  </si>
  <si>
    <t>SCAN</t>
  </si>
  <si>
    <t>&gt; 360 Mio. €</t>
  </si>
  <si>
    <t>→ Upgrade</t>
  </si>
  <si>
    <t>FOCUS</t>
  </si>
  <si>
    <t>&gt; 935 Mio. €</t>
  </si>
  <si>
    <t>X-RAY</t>
  </si>
  <si>
    <t>&gt; 2.8 Mrd. €</t>
  </si>
  <si>
    <t>✓</t>
  </si>
  <si>
    <r>
      <rPr>
        <b/>
        <sz val="10"/>
        <color theme="1"/>
        <rFont val="Segoe UI"/>
        <family val="2"/>
      </rPr>
      <t>Beobachtung.</t>
    </r>
    <r>
      <rPr>
        <sz val="10"/>
        <color theme="1"/>
        <rFont val="Segoe UI"/>
        <family val="2"/>
      </rPr>
      <t xml:space="preserve"> Interessante Leads, deren Laufzeitende näher rückt oder bei denen Budget-Signale vorliegen. In die Vertriebspipeline aufnehmen und Key-Accounts identifizieren.</t>
    </r>
  </si>
  <si>
    <t>📅 LANGFRISTIG</t>
  </si>
  <si>
    <r>
      <rPr>
        <b/>
        <sz val="10"/>
        <color theme="1"/>
        <rFont val="Segoe UI"/>
        <family val="2"/>
      </rPr>
      <t>Markt-Radar.</t>
    </r>
    <r>
      <rPr>
        <sz val="10"/>
        <color theme="1"/>
        <rFont val="Segoe UI"/>
        <family val="2"/>
      </rPr>
      <t xml:space="preserve"> Verträge mit längerer Restlaufzeit. Dient zur strategischen Marktübersicht (Wer hält welchen Account?) und langfristigen Gebietsplanung.</t>
    </r>
  </si>
  <si>
    <r>
      <rPr>
        <b/>
        <sz val="10"/>
        <color theme="1"/>
        <rFont val="Segoe UI"/>
        <family val="2"/>
      </rPr>
      <t>Predictive Pattern Recognition</t>
    </r>
    <r>
      <rPr>
        <sz val="10"/>
        <color theme="1"/>
        <rFont val="Segoe UI"/>
        <family val="2"/>
      </rPr>
      <t>: Prognose basierend auf einer algorithmischen Auswertung von Vergabestrukturen, Laufzeit-Historien und regulatorischen Vorgaben für IT-Rahmenverträge.</t>
    </r>
  </si>
  <si>
    <t>Consulting, Manpower, Service-Verträge.</t>
  </si>
  <si>
    <t>Server, Storage, Clients, Netzwerk-Komponenten.</t>
  </si>
  <si>
    <t>Lizenzen, Pflegeverträge, SaaS, Cloud.</t>
  </si>
  <si>
    <t>Gesamtauftragswert (Total Value) der Vergabe zum Zeitpunkt des Zuschlags.</t>
  </si>
  <si>
    <t>Disclaimer &amp; Haftungsausschluss</t>
  </si>
  <si>
    <t>Diese Daten basieren auf öffentlich zugänglichen Informationen (TED, Vergabeplattformen) sowie eigenen Marktanalysen. goVisor übernimmt keine Gewähr für die Richtigkeit, Vollständigkeit oder Aktualität der Daten. Insbesondere das Datum "Fällig*" ist eine Prognose, die auf marktüblichen Zyklen basiert; tatsächliche Laufzeiten können abweichen. Diese Liste stellt keine Rechtsberatung dar.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</si>
</sst>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€&quot;;[Red]\-#,##0\ &quot;€&quot;"/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  <font>
      <b/>
      <sz val="10"/>
      <color theme="0"/>
      <name val="Segoe UI"/>
      <family val="2"/>
    </font>
    <font>
      <sz val="10"/>
      <color rgb="FF334155"/>
      <name val="Segoe UI"/>
      <family val="2"/>
    </font>
    <font>
      <b/>
      <sz val="10"/>
      <color rgb="FF334155"/>
      <name val="Segoe UI"/>
      <family val="2"/>
    </font>
    <font>
      <sz val="8"/>
      <name val="Calibri"/>
      <family val="2"/>
      <scheme val="minor"/>
    </font>
    <font>
      <sz val="6"/>
      <color theme="1"/>
      <name val="Segoe UI"/>
      <family val="2"/>
    </font>
    <font>
      <sz val="8"/>
      <color theme="1"/>
      <name val="Segoe UI"/>
      <family val="2"/>
    </font>
    <font>
      <i/>
      <sz val="10"/>
      <color theme="1"/>
      <name val="Segoe UI"/>
      <family val="2"/>
    </font>
    <font>
      <sz val="8"/>
      <color rgb="FF334155"/>
      <name val="Segoe UI"/>
      <family val="2"/>
    </font>
    <font>
      <b/>
      <sz val="16"/>
      <color theme="1"/>
      <name val="Segoe UI"/>
      <family val="2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b/>
      <sz val="11"/>
      <color theme="0"/>
      <name val="Segou ui"/>
    </font>
    <font>
      <b/>
      <sz val="11"/>
      <color rgb="FFC2410C"/>
      <name val="Segou ui"/>
    </font>
    <font>
      <b/>
      <sz val="11"/>
      <color theme="1"/>
      <name val="Segoe UI"/>
      <family val="2"/>
    </font>
    <font>
      <sz val="11"/>
      <color rgb="FF1F1F1F"/>
      <name val="Segoe UI"/>
      <family val="2"/>
    </font>
    <font>
      <sz val="11"/>
      <color rgb="FFC00000"/>
      <name val="Segoe UI"/>
      <family val="2"/>
    </font>
    <font>
      <strike/>
      <sz val="11"/>
      <color theme="1"/>
      <name val="Segoe UI"/>
      <family val="2"/>
    </font>
    <font>
      <b/>
      <sz val="14"/>
      <color rgb="FF00B05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F0FDF4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/>
      <right style="thin">
        <color theme="0"/>
      </right>
      <top style="thin">
        <color rgb="FFE2E8F0"/>
      </top>
      <bottom style="thin">
        <color rgb="FFE2E8F0"/>
      </bottom>
      <diagonal/>
    </border>
    <border>
      <left style="thin">
        <color theme="0"/>
      </left>
      <right style="thin">
        <color theme="0"/>
      </right>
      <top style="thin">
        <color rgb="FFE2E8F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rgb="FFE2E8F0"/>
      </top>
      <bottom style="thin">
        <color theme="0"/>
      </bottom>
      <diagonal/>
    </border>
    <border>
      <left style="thin">
        <color theme="0"/>
      </left>
      <right/>
      <top style="thin">
        <color rgb="FFE2E8F0"/>
      </top>
      <bottom style="thin">
        <color rgb="FFE2E8F0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rgb="FFE2E8F0"/>
      </top>
      <bottom/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F8FAFC"/>
      </bottom>
      <diagonal/>
    </border>
    <border>
      <left style="thin">
        <color theme="0"/>
      </left>
      <right style="thin">
        <color theme="0"/>
      </right>
      <top style="thin">
        <color rgb="FFF8FAFC"/>
      </top>
      <bottom style="thin">
        <color rgb="FFF8FAFC"/>
      </bottom>
      <diagonal/>
    </border>
    <border>
      <left/>
      <right/>
      <top style="thin">
        <color rgb="FFF8FAFC"/>
      </top>
      <bottom style="thin">
        <color rgb="FFF8FAFC"/>
      </bottom>
      <diagonal/>
    </border>
    <border>
      <left style="thin">
        <color rgb="FFE2E8F0"/>
      </left>
      <right/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/>
      <top/>
      <bottom/>
      <diagonal/>
    </border>
    <border>
      <left/>
      <right style="thin">
        <color rgb="FFF8FAFC"/>
      </right>
      <top style="thin">
        <color rgb="FFF8FAFC"/>
      </top>
      <bottom style="thin">
        <color rgb="FFF8FAFC"/>
      </bottom>
      <diagonal/>
    </border>
    <border>
      <left/>
      <right style="thin">
        <color rgb="FFF8FAFC"/>
      </right>
      <top style="thin">
        <color rgb="FFE2E8F0"/>
      </top>
      <bottom style="thin">
        <color rgb="FFE2E8F0"/>
      </bottom>
      <diagonal/>
    </border>
    <border>
      <left/>
      <right style="thin">
        <color rgb="FFF8FAFC"/>
      </right>
      <top/>
      <bottom style="thin">
        <color rgb="FFE2E8F0"/>
      </bottom>
      <diagonal/>
    </border>
    <border>
      <left/>
      <right style="thin">
        <color rgb="FFF8FAFC"/>
      </right>
      <top/>
      <bottom/>
      <diagonal/>
    </border>
    <border>
      <left/>
      <right style="thin">
        <color rgb="FFF8FAFC"/>
      </right>
      <top style="thin">
        <color rgb="FFE2E8F0"/>
      </top>
      <bottom style="thin">
        <color theme="0"/>
      </bottom>
      <diagonal/>
    </border>
    <border>
      <left/>
      <right style="thin">
        <color rgb="FFF8FAFC"/>
      </right>
      <top style="thin">
        <color theme="0"/>
      </top>
      <bottom style="thin">
        <color theme="0"/>
      </bottom>
      <diagonal/>
    </border>
    <border>
      <left/>
      <right style="thin">
        <color rgb="FFF8FAFC"/>
      </right>
      <top/>
      <bottom style="thin">
        <color theme="0"/>
      </bottom>
      <diagonal/>
    </border>
    <border>
      <left/>
      <right style="thin">
        <color rgb="FFF8FAFC"/>
      </right>
      <top style="thin">
        <color theme="0"/>
      </top>
      <bottom style="thin">
        <color rgb="FFF8FAFC"/>
      </bottom>
      <diagonal/>
    </border>
    <border>
      <left/>
      <right style="thin">
        <color rgb="FFF8FAFC"/>
      </right>
      <top/>
      <bottom style="thin">
        <color rgb="FFF8FAFC"/>
      </bottom>
      <diagonal/>
    </border>
    <border>
      <left/>
      <right style="thin">
        <color rgb="FFF8FAFC"/>
      </right>
      <top style="thin">
        <color theme="0"/>
      </top>
      <bottom/>
      <diagonal/>
    </border>
    <border>
      <left/>
      <right style="thin">
        <color rgb="FFF8FAFC"/>
      </right>
      <top style="thin">
        <color rgb="FFF8FAFC"/>
      </top>
      <bottom style="thin">
        <color theme="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theme="0"/>
      </bottom>
      <diagonal/>
    </border>
    <border>
      <left/>
      <right/>
      <top style="thin">
        <color rgb="FFE2E8F0"/>
      </top>
      <bottom style="thin">
        <color theme="0"/>
      </bottom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164" fontId="2" fillId="0" borderId="2" xfId="1" applyNumberFormat="1" applyFont="1" applyFill="1" applyBorder="1" applyAlignment="1">
      <alignment horizontal="right" vertical="center" wrapText="1"/>
    </xf>
    <xf numFmtId="14" fontId="2" fillId="0" borderId="2" xfId="0" applyNumberFormat="1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4" fillId="4" borderId="3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vertic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4" fillId="5" borderId="3" xfId="0" applyFont="1" applyFill="1" applyBorder="1" applyAlignment="1">
      <alignment horizontal="center"/>
    </xf>
    <xf numFmtId="0" fontId="2" fillId="0" borderId="1" xfId="0" applyFont="1" applyBorder="1"/>
    <xf numFmtId="0" fontId="2" fillId="0" borderId="4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/>
    <xf numFmtId="0" fontId="2" fillId="0" borderId="10" xfId="0" applyFont="1" applyBorder="1" applyAlignment="1">
      <alignment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6" fillId="3" borderId="5" xfId="0" applyFont="1" applyFill="1" applyBorder="1" applyAlignment="1">
      <alignment horizontal="center"/>
    </xf>
    <xf numFmtId="0" fontId="2" fillId="0" borderId="4" xfId="0" applyFont="1" applyBorder="1"/>
    <xf numFmtId="14" fontId="2" fillId="0" borderId="1" xfId="0" applyNumberFormat="1" applyFont="1" applyBorder="1"/>
    <xf numFmtId="0" fontId="4" fillId="5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horizontal="right" vertical="center"/>
    </xf>
    <xf numFmtId="0" fontId="2" fillId="0" borderId="17" xfId="0" applyFont="1" applyBorder="1" applyAlignment="1">
      <alignment horizontal="right" vertical="center"/>
    </xf>
    <xf numFmtId="49" fontId="6" fillId="3" borderId="19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0" xfId="0" applyFont="1" applyBorder="1"/>
    <xf numFmtId="49" fontId="3" fillId="6" borderId="24" xfId="0" applyNumberFormat="1" applyFont="1" applyFill="1" applyBorder="1" applyAlignment="1">
      <alignment horizontal="center" vertical="center"/>
    </xf>
    <xf numFmtId="49" fontId="6" fillId="3" borderId="24" xfId="0" applyNumberFormat="1" applyFont="1" applyFill="1" applyBorder="1" applyAlignment="1">
      <alignment horizontal="center" vertical="center"/>
    </xf>
    <xf numFmtId="49" fontId="3" fillId="6" borderId="25" xfId="0" applyNumberFormat="1" applyFont="1" applyFill="1" applyBorder="1" applyAlignment="1">
      <alignment horizontal="center" vertical="center"/>
    </xf>
    <xf numFmtId="49" fontId="6" fillId="3" borderId="22" xfId="0" applyNumberFormat="1" applyFont="1" applyFill="1" applyBorder="1" applyAlignment="1">
      <alignment horizontal="center" vertical="center"/>
    </xf>
    <xf numFmtId="49" fontId="3" fillId="6" borderId="26" xfId="0" applyNumberFormat="1" applyFont="1" applyFill="1" applyBorder="1" applyAlignment="1">
      <alignment horizontal="center" vertical="center"/>
    </xf>
    <xf numFmtId="49" fontId="6" fillId="3" borderId="26" xfId="0" applyNumberFormat="1" applyFont="1" applyFill="1" applyBorder="1" applyAlignment="1">
      <alignment horizontal="center" vertical="center"/>
    </xf>
    <xf numFmtId="49" fontId="6" fillId="3" borderId="28" xfId="0" applyNumberFormat="1" applyFont="1" applyFill="1" applyBorder="1" applyAlignment="1">
      <alignment horizontal="center" vertical="center"/>
    </xf>
    <xf numFmtId="49" fontId="6" fillId="3" borderId="29" xfId="0" applyNumberFormat="1" applyFont="1" applyFill="1" applyBorder="1" applyAlignment="1">
      <alignment horizontal="center" vertical="center"/>
    </xf>
    <xf numFmtId="49" fontId="3" fillId="6" borderId="19" xfId="0" applyNumberFormat="1" applyFont="1" applyFill="1" applyBorder="1" applyAlignment="1">
      <alignment horizontal="center" vertical="center"/>
    </xf>
    <xf numFmtId="49" fontId="3" fillId="6" borderId="28" xfId="0" applyNumberFormat="1" applyFont="1" applyFill="1" applyBorder="1" applyAlignment="1">
      <alignment horizontal="center" vertical="center"/>
    </xf>
    <xf numFmtId="49" fontId="3" fillId="6" borderId="22" xfId="0" applyNumberFormat="1" applyFont="1" applyFill="1" applyBorder="1" applyAlignment="1">
      <alignment horizontal="center" vertical="center"/>
    </xf>
    <xf numFmtId="49" fontId="3" fillId="6" borderId="29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right"/>
    </xf>
    <xf numFmtId="14" fontId="2" fillId="0" borderId="1" xfId="0" applyNumberFormat="1" applyFont="1" applyBorder="1" applyAlignment="1">
      <alignment horizontal="right" vertical="center" wrapText="1"/>
    </xf>
    <xf numFmtId="14" fontId="10" fillId="0" borderId="0" xfId="0" applyNumberFormat="1" applyFont="1"/>
    <xf numFmtId="0" fontId="2" fillId="0" borderId="9" xfId="0" applyFont="1" applyBorder="1" applyAlignment="1">
      <alignment vertical="center"/>
    </xf>
    <xf numFmtId="0" fontId="6" fillId="3" borderId="4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21" xfId="0" applyFont="1" applyBorder="1"/>
    <xf numFmtId="0" fontId="2" fillId="0" borderId="22" xfId="0" applyFont="1" applyBorder="1" applyAlignment="1">
      <alignment vertical="center"/>
    </xf>
    <xf numFmtId="49" fontId="3" fillId="6" borderId="23" xfId="0" applyNumberFormat="1" applyFont="1" applyFill="1" applyBorder="1" applyAlignment="1">
      <alignment horizontal="center" vertical="center"/>
    </xf>
    <xf numFmtId="49" fontId="6" fillId="3" borderId="27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11" fillId="0" borderId="1" xfId="0" applyFont="1" applyBorder="1" applyAlignment="1">
      <alignment horizontal="right"/>
    </xf>
    <xf numFmtId="14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164" fontId="2" fillId="0" borderId="0" xfId="0" applyNumberFormat="1" applyFont="1"/>
    <xf numFmtId="0" fontId="4" fillId="4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16" xfId="0" applyFont="1" applyBorder="1" applyAlignment="1">
      <alignment horizontal="right"/>
    </xf>
    <xf numFmtId="0" fontId="2" fillId="0" borderId="18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15" xfId="0" applyFont="1" applyBorder="1" applyAlignment="1">
      <alignment horizontal="right"/>
    </xf>
    <xf numFmtId="0" fontId="2" fillId="0" borderId="0" xfId="0" applyFont="1" applyAlignment="1">
      <alignment vertical="center"/>
    </xf>
    <xf numFmtId="0" fontId="2" fillId="0" borderId="10" xfId="0" applyFont="1" applyBorder="1"/>
    <xf numFmtId="0" fontId="2" fillId="0" borderId="14" xfId="0" applyFont="1" applyBorder="1"/>
    <xf numFmtId="0" fontId="2" fillId="0" borderId="8" xfId="0" applyFont="1" applyBorder="1" applyAlignment="1">
      <alignment vertical="center"/>
    </xf>
    <xf numFmtId="0" fontId="2" fillId="0" borderId="20" xfId="0" applyFont="1" applyBorder="1" applyAlignment="1">
      <alignment horizontal="left" vertical="center"/>
    </xf>
    <xf numFmtId="14" fontId="2" fillId="0" borderId="0" xfId="0" applyNumberFormat="1" applyFont="1" applyAlignment="1">
      <alignment vertical="center" wrapText="1"/>
    </xf>
    <xf numFmtId="0" fontId="11" fillId="0" borderId="2" xfId="0" applyFont="1" applyBorder="1" applyAlignment="1">
      <alignment horizontal="center"/>
    </xf>
    <xf numFmtId="0" fontId="5" fillId="2" borderId="0" xfId="0" applyFont="1" applyFill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3" fillId="0" borderId="0" xfId="0" applyFont="1"/>
    <xf numFmtId="0" fontId="0" fillId="0" borderId="0" xfId="0" applyAlignment="1">
      <alignment horizontal="left" vertical="top" wrapText="1"/>
    </xf>
    <xf numFmtId="0" fontId="14" fillId="0" borderId="0" xfId="0" applyFont="1"/>
    <xf numFmtId="0" fontId="1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8" fillId="0" borderId="0" xfId="0" applyFont="1"/>
    <xf numFmtId="0" fontId="15" fillId="7" borderId="30" xfId="0" applyFont="1" applyFill="1" applyBorder="1" applyAlignment="1">
      <alignment horizontal="left" vertical="center"/>
    </xf>
    <xf numFmtId="0" fontId="15" fillId="7" borderId="3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5" fillId="7" borderId="32" xfId="0" applyFont="1" applyFill="1" applyBorder="1" applyAlignment="1">
      <alignment horizontal="center" vertical="center" wrapText="1" readingOrder="1"/>
    </xf>
    <xf numFmtId="0" fontId="15" fillId="7" borderId="9" xfId="0" applyFont="1" applyFill="1" applyBorder="1" applyAlignment="1">
      <alignment horizontal="right" vertical="center" wrapText="1" indent="1" readingOrder="1"/>
    </xf>
    <xf numFmtId="0" fontId="15" fillId="7" borderId="16" xfId="0" applyFont="1" applyFill="1" applyBorder="1" applyAlignment="1">
      <alignment horizontal="right" vertical="center" wrapText="1" indent="1" readingOrder="1"/>
    </xf>
    <xf numFmtId="0" fontId="15" fillId="7" borderId="16" xfId="0" applyFont="1" applyFill="1" applyBorder="1" applyAlignment="1">
      <alignment horizontal="center" vertical="center" wrapText="1" readingOrder="1"/>
    </xf>
    <xf numFmtId="0" fontId="3" fillId="0" borderId="33" xfId="0" applyFont="1" applyBorder="1"/>
    <xf numFmtId="0" fontId="4" fillId="4" borderId="2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center" vertical="center" wrapText="1" readingOrder="1"/>
    </xf>
    <xf numFmtId="0" fontId="19" fillId="0" borderId="2" xfId="0" applyFont="1" applyBorder="1" applyAlignment="1">
      <alignment horizontal="right" vertical="center" wrapText="1" readingOrder="1"/>
    </xf>
    <xf numFmtId="0" fontId="20" fillId="0" borderId="2" xfId="0" applyFont="1" applyBorder="1" applyAlignment="1">
      <alignment horizontal="center" vertical="center" wrapText="1" readingOrder="1"/>
    </xf>
    <xf numFmtId="164" fontId="14" fillId="0" borderId="0" xfId="1" applyNumberFormat="1" applyFont="1" applyAlignment="1">
      <alignment horizontal="center"/>
    </xf>
    <xf numFmtId="6" fontId="19" fillId="0" borderId="2" xfId="0" applyNumberFormat="1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horizontal="left" vertical="top" wrapText="1"/>
    </xf>
    <xf numFmtId="0" fontId="19" fillId="0" borderId="1" xfId="0" applyFont="1" applyBorder="1" applyAlignment="1">
      <alignment horizontal="center" vertical="center" wrapText="1" readingOrder="1"/>
    </xf>
    <xf numFmtId="0" fontId="19" fillId="0" borderId="1" xfId="0" applyFont="1" applyBorder="1" applyAlignment="1">
      <alignment horizontal="right" vertical="center" wrapText="1" readingOrder="1"/>
    </xf>
    <xf numFmtId="164" fontId="21" fillId="0" borderId="9" xfId="1" applyNumberFormat="1" applyFont="1" applyBorder="1" applyAlignment="1">
      <alignment horizontal="center"/>
    </xf>
    <xf numFmtId="6" fontId="19" fillId="0" borderId="1" xfId="0" applyNumberFormat="1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wrapText="1"/>
    </xf>
    <xf numFmtId="0" fontId="2" fillId="0" borderId="2" xfId="0" applyFont="1" applyBorder="1"/>
    <xf numFmtId="0" fontId="2" fillId="0" borderId="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center" wrapText="1"/>
    </xf>
    <xf numFmtId="0" fontId="2" fillId="0" borderId="0" xfId="0" applyFont="1" applyAlignment="1">
      <alignment horizontal="left" vertical="top" wrapText="1"/>
    </xf>
    <xf numFmtId="0" fontId="18" fillId="8" borderId="2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right" vertical="center"/>
    </xf>
    <xf numFmtId="0" fontId="22" fillId="8" borderId="2" xfId="0" applyFont="1" applyFill="1" applyBorder="1" applyAlignment="1">
      <alignment horizontal="center" vertical="center"/>
    </xf>
    <xf numFmtId="164" fontId="21" fillId="8" borderId="9" xfId="1" applyNumberFormat="1" applyFont="1" applyFill="1" applyBorder="1" applyAlignment="1">
      <alignment horizontal="center"/>
    </xf>
    <xf numFmtId="6" fontId="18" fillId="8" borderId="2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wrapText="1"/>
    </xf>
    <xf numFmtId="0" fontId="2" fillId="0" borderId="9" xfId="0" applyFont="1" applyBorder="1"/>
    <xf numFmtId="0" fontId="2" fillId="0" borderId="2" xfId="0" applyFont="1" applyBorder="1" applyAlignment="1">
      <alignment horizontal="center"/>
    </xf>
    <xf numFmtId="0" fontId="3" fillId="0" borderId="0" xfId="0" applyFont="1"/>
    <xf numFmtId="0" fontId="6" fillId="3" borderId="34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6" fillId="0" borderId="35" xfId="0" applyFont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/>
    </xf>
    <xf numFmtId="0" fontId="15" fillId="2" borderId="0" xfId="0" applyFont="1" applyFill="1" applyAlignment="1">
      <alignment horizontal="left" vertical="center"/>
    </xf>
    <xf numFmtId="0" fontId="2" fillId="0" borderId="0" xfId="0" applyFont="1" applyAlignment="1">
      <alignment vertical="top" wrapText="1"/>
    </xf>
    <xf numFmtId="0" fontId="12" fillId="0" borderId="0" xfId="0" applyFont="1" applyAlignment="1">
      <alignment horizontal="left"/>
    </xf>
  </cellXfs>
  <cellStyles count="2">
    <cellStyle name="Standard" xfId="0" builtinId="0"/>
    <cellStyle name="Währung" xfId="1" builtinId="4"/>
  </cellStyles>
  <dxfs count="33"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</dxfs>
  <tableStyles count="0" defaultTableStyle="TableStyleMedium2" defaultPivotStyle="PivotStyleLight16"/>
  <colors>
    <mruColors>
      <color rgb="FF0F172A"/>
      <color rgb="FFE2E8F0"/>
      <color rgb="FFF8FAFC"/>
      <color rgb="FFF1F5F9"/>
      <color rgb="FF1E40AF"/>
      <color rgb="FFC2410C"/>
      <color rgb="FF64748B"/>
      <color rgb="FF854D0E"/>
      <color rgb="FFFEF9C3"/>
      <color rgb="FF3341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247650</xdr:colOff>
      <xdr:row>0</xdr:row>
      <xdr:rowOff>185006</xdr:rowOff>
    </xdr:from>
    <xdr:to>
      <xdr:col>3</xdr:col>
      <xdr:colOff>143054</xdr:colOff>
      <xdr:row>2</xdr:row>
      <xdr:rowOff>171450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D5B79999-7E15-4DC0-B360-716BD536A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185006"/>
          <a:ext cx="1286054" cy="3579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247650</xdr:colOff>
      <xdr:row>0</xdr:row>
      <xdr:rowOff>185006</xdr:rowOff>
    </xdr:from>
    <xdr:to>
      <xdr:col>2</xdr:col>
      <xdr:colOff>247829</xdr:colOff>
      <xdr:row>2</xdr:row>
      <xdr:rowOff>171450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E52BF4B3-833B-49FA-A6D1-71E4A9ECD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180924"/>
          <a:ext cx="1286054" cy="362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ello@goVisor.eu?subject=PIN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hello@goVisor.eu?subject=P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1B16C-2E2D-4ECA-A596-BD317B70D819}">
  <sheetPr>
    <tabColor rgb="FF334155"/>
    <pageSetUpPr autoPageBreaks="0"/>
  </sheetPr>
  <dimension ref="A1:O52"/>
  <sheetViews>
    <sheetView showGridLines="0" tabSelected="1" zoomScaleNormal="100" workbookViewId="0">
      <selection activeCell="O3" sqref="O3"/>
    </sheetView>
  </sheetViews>
  <sheetFormatPr baseColWidth="10" defaultColWidth="9.140625" defaultRowHeight="14.25"/>
  <cols>
    <col min="1" max="1" width="0.5703125" style="1" customWidth="1"/>
    <col min="2" max="2" width="6.5703125" style="1" customWidth="1"/>
    <col min="3" max="3" width="14.28515625" style="1" customWidth="1"/>
    <col min="4" max="4" width="18.85546875" style="1" customWidth="1"/>
    <col min="5" max="5" width="20" style="2" customWidth="1"/>
    <col min="6" max="7" width="22" style="1" customWidth="1"/>
    <col min="8" max="8" width="7.85546875" style="1" customWidth="1"/>
    <col min="9" max="9" width="14.5703125" style="11" customWidth="1"/>
    <col min="10" max="10" width="10.42578125" style="1" customWidth="1"/>
    <col min="11" max="11" width="18.140625" style="1" customWidth="1"/>
    <col min="12" max="12" width="19.42578125" style="1" customWidth="1"/>
    <col min="13" max="13" width="12.28515625" style="1" customWidth="1"/>
    <col min="14" max="14" width="24.85546875" style="1" customWidth="1"/>
    <col min="15" max="15" width="18" style="1" customWidth="1"/>
    <col min="16" max="16384" width="9.140625" style="1"/>
  </cols>
  <sheetData>
    <row r="1" spans="1:15" ht="15" customHeight="1">
      <c r="A1" s="83"/>
      <c r="B1" s="83"/>
      <c r="C1" s="83"/>
      <c r="F1" s="53"/>
      <c r="I1" s="53"/>
      <c r="J1" s="53"/>
      <c r="K1" s="53"/>
      <c r="L1" s="53"/>
      <c r="N1" s="65"/>
      <c r="O1" s="65" t="s">
        <v>269</v>
      </c>
    </row>
    <row r="2" spans="1:15">
      <c r="A2" s="83"/>
      <c r="B2" s="83"/>
      <c r="C2" s="83"/>
      <c r="N2" s="65"/>
      <c r="O2" s="65" t="s">
        <v>272</v>
      </c>
    </row>
    <row r="3" spans="1:15">
      <c r="A3" s="83"/>
      <c r="B3" s="83"/>
      <c r="C3" s="83"/>
      <c r="N3" s="65"/>
      <c r="O3" s="65" t="s">
        <v>270</v>
      </c>
    </row>
    <row r="4" spans="1:15">
      <c r="A4" s="83"/>
      <c r="B4" s="83"/>
      <c r="C4" s="83"/>
    </row>
    <row r="5" spans="1:15">
      <c r="H5" s="86"/>
    </row>
    <row r="6" spans="1:15" ht="25.5">
      <c r="C6" s="87" t="s">
        <v>273</v>
      </c>
      <c r="D6" s="87"/>
      <c r="E6" s="87"/>
      <c r="F6" s="87"/>
      <c r="G6" s="87"/>
      <c r="H6" s="63"/>
    </row>
    <row r="9" spans="1:15" ht="15" customHeight="1">
      <c r="C9" s="88" t="s">
        <v>274</v>
      </c>
      <c r="D9" s="88"/>
      <c r="E9" s="88"/>
      <c r="F9" s="88"/>
      <c r="G9" s="88"/>
      <c r="J9" s="67"/>
    </row>
    <row r="10" spans="1:15" ht="14.25" customHeight="1">
      <c r="C10" s="88"/>
      <c r="D10" s="88"/>
      <c r="E10" s="88"/>
      <c r="F10" s="88"/>
      <c r="G10" s="88"/>
    </row>
    <row r="11" spans="1:15" ht="14.25" customHeight="1">
      <c r="C11" s="88"/>
      <c r="D11" s="88"/>
      <c r="E11" s="88"/>
      <c r="F11" s="88"/>
      <c r="G11" s="88"/>
    </row>
    <row r="12" spans="1:15" ht="14.25" customHeight="1">
      <c r="C12" s="88"/>
      <c r="D12" s="88"/>
      <c r="E12" s="88"/>
      <c r="F12" s="88"/>
      <c r="G12" s="88"/>
    </row>
    <row r="13" spans="1:15" s="89" customFormat="1" ht="16.5">
      <c r="C13" s="90" t="s">
        <v>275</v>
      </c>
      <c r="D13" s="90"/>
      <c r="E13" s="90"/>
      <c r="F13" s="90"/>
      <c r="G13" s="90"/>
      <c r="I13" s="91" t="s">
        <v>276</v>
      </c>
      <c r="J13" s="91"/>
      <c r="K13" s="91"/>
      <c r="L13" s="91"/>
      <c r="M13" s="91"/>
      <c r="N13" s="91"/>
      <c r="O13" s="91"/>
    </row>
    <row r="14" spans="1:15" s="89" customFormat="1" ht="16.5">
      <c r="C14" s="90"/>
      <c r="D14" s="90"/>
      <c r="E14" s="90"/>
      <c r="F14" s="90"/>
      <c r="G14" s="90"/>
      <c r="I14" s="91"/>
      <c r="J14" s="91"/>
      <c r="K14" s="91"/>
      <c r="L14" s="91"/>
      <c r="M14" s="91"/>
      <c r="N14" s="91"/>
      <c r="O14" s="91"/>
    </row>
    <row r="15" spans="1:15" ht="16.5">
      <c r="C15" s="92"/>
    </row>
    <row r="16" spans="1:15" ht="16.5">
      <c r="C16" s="93" t="s">
        <v>277</v>
      </c>
      <c r="D16" s="94" t="s">
        <v>278</v>
      </c>
      <c r="E16" s="94"/>
      <c r="F16" s="94"/>
      <c r="G16" s="94"/>
      <c r="H16" s="95"/>
      <c r="I16" s="96" t="s">
        <v>279</v>
      </c>
      <c r="J16" s="97" t="s">
        <v>280</v>
      </c>
      <c r="K16" s="98" t="s">
        <v>36</v>
      </c>
      <c r="L16" s="99" t="s">
        <v>281</v>
      </c>
      <c r="M16" s="96" t="s">
        <v>282</v>
      </c>
      <c r="N16" s="96" t="s">
        <v>283</v>
      </c>
      <c r="O16" s="96" t="s">
        <v>284</v>
      </c>
    </row>
    <row r="17" spans="3:15" ht="16.5">
      <c r="C17" s="100" t="s">
        <v>0</v>
      </c>
      <c r="D17" s="101" t="s">
        <v>19</v>
      </c>
      <c r="E17" s="102" t="s">
        <v>285</v>
      </c>
      <c r="F17" s="102"/>
      <c r="G17" s="102"/>
      <c r="H17" s="95"/>
      <c r="I17" s="103" t="s">
        <v>286</v>
      </c>
      <c r="J17" s="103">
        <v>3</v>
      </c>
      <c r="K17" s="104" t="s">
        <v>287</v>
      </c>
      <c r="L17" s="105" t="s">
        <v>288</v>
      </c>
      <c r="M17" s="106">
        <v>0</v>
      </c>
      <c r="N17" s="107">
        <v>0</v>
      </c>
      <c r="O17" s="108"/>
    </row>
    <row r="18" spans="3:15" ht="16.5">
      <c r="E18" s="109"/>
      <c r="F18" s="109"/>
      <c r="G18" s="109"/>
      <c r="I18" s="110" t="s">
        <v>289</v>
      </c>
      <c r="J18" s="110">
        <v>25</v>
      </c>
      <c r="K18" s="111" t="s">
        <v>290</v>
      </c>
      <c r="L18" s="105" t="s">
        <v>288</v>
      </c>
      <c r="M18" s="112">
        <v>499</v>
      </c>
      <c r="N18" s="113">
        <v>299</v>
      </c>
      <c r="O18" s="114" t="s">
        <v>291</v>
      </c>
    </row>
    <row r="19" spans="3:15" ht="16.5">
      <c r="C19" s="115"/>
      <c r="D19" s="115"/>
      <c r="E19" s="116"/>
      <c r="F19" s="116"/>
      <c r="G19" s="116"/>
      <c r="I19" s="110" t="s">
        <v>292</v>
      </c>
      <c r="J19" s="110">
        <v>50</v>
      </c>
      <c r="K19" s="111" t="s">
        <v>293</v>
      </c>
      <c r="L19" s="105" t="s">
        <v>288</v>
      </c>
      <c r="M19" s="112">
        <v>999</v>
      </c>
      <c r="N19" s="113">
        <v>599</v>
      </c>
      <c r="O19" s="117" t="s">
        <v>291</v>
      </c>
    </row>
    <row r="20" spans="3:15" ht="18.75">
      <c r="E20" s="118"/>
      <c r="F20" s="118"/>
      <c r="G20" s="118"/>
      <c r="I20" s="119" t="s">
        <v>294</v>
      </c>
      <c r="J20" s="119">
        <v>75</v>
      </c>
      <c r="K20" s="120" t="s">
        <v>295</v>
      </c>
      <c r="L20" s="121" t="s">
        <v>296</v>
      </c>
      <c r="M20" s="122">
        <v>1499</v>
      </c>
      <c r="N20" s="123">
        <v>999</v>
      </c>
      <c r="O20" s="124" t="s">
        <v>291</v>
      </c>
    </row>
    <row r="21" spans="3:15">
      <c r="D21" s="29" t="s">
        <v>22</v>
      </c>
      <c r="E21" s="109" t="s">
        <v>297</v>
      </c>
      <c r="F21" s="109"/>
      <c r="G21" s="109"/>
      <c r="M21" s="125"/>
      <c r="O21" s="125"/>
    </row>
    <row r="22" spans="3:15">
      <c r="E22" s="109"/>
      <c r="F22" s="109"/>
      <c r="G22" s="109"/>
    </row>
    <row r="23" spans="3:15">
      <c r="E23" s="109"/>
      <c r="F23" s="109"/>
      <c r="G23" s="109"/>
    </row>
    <row r="24" spans="3:15">
      <c r="E24" s="118"/>
      <c r="F24" s="118"/>
      <c r="G24" s="118"/>
    </row>
    <row r="25" spans="3:15">
      <c r="D25" s="17" t="s">
        <v>298</v>
      </c>
      <c r="E25" s="109" t="s">
        <v>299</v>
      </c>
      <c r="F25" s="109"/>
      <c r="G25" s="109"/>
    </row>
    <row r="26" spans="3:15">
      <c r="E26" s="109"/>
      <c r="F26" s="109"/>
      <c r="G26" s="109"/>
    </row>
    <row r="27" spans="3:15">
      <c r="E27" s="109"/>
      <c r="F27" s="109"/>
      <c r="G27" s="109"/>
    </row>
    <row r="28" spans="3:15">
      <c r="C28" s="115"/>
      <c r="D28" s="115"/>
      <c r="E28" s="126"/>
      <c r="F28" s="115"/>
      <c r="G28" s="115"/>
    </row>
    <row r="29" spans="3:15">
      <c r="C29" s="127" t="s">
        <v>38</v>
      </c>
      <c r="D29" s="109" t="s">
        <v>300</v>
      </c>
      <c r="E29" s="109"/>
      <c r="F29" s="109"/>
      <c r="G29" s="109"/>
    </row>
    <row r="30" spans="3:15">
      <c r="D30" s="109"/>
      <c r="E30" s="109"/>
      <c r="F30" s="109"/>
      <c r="G30" s="109"/>
    </row>
    <row r="31" spans="3:15">
      <c r="C31" s="115"/>
      <c r="D31" s="115"/>
      <c r="E31" s="126"/>
      <c r="F31" s="115"/>
      <c r="G31" s="115"/>
    </row>
    <row r="32" spans="3:15">
      <c r="C32" s="127" t="s">
        <v>5</v>
      </c>
      <c r="D32" s="128" t="s">
        <v>17</v>
      </c>
      <c r="E32" s="129" t="s">
        <v>301</v>
      </c>
      <c r="F32" s="130"/>
      <c r="G32" s="130"/>
    </row>
    <row r="33" spans="3:15">
      <c r="D33" s="131"/>
    </row>
    <row r="34" spans="3:15">
      <c r="D34" s="132" t="s">
        <v>6</v>
      </c>
      <c r="E34" s="129" t="s">
        <v>302</v>
      </c>
      <c r="F34" s="130"/>
      <c r="G34" s="130"/>
    </row>
    <row r="35" spans="3:15">
      <c r="D35" s="131"/>
    </row>
    <row r="36" spans="3:15">
      <c r="D36" s="133" t="s">
        <v>7</v>
      </c>
      <c r="E36" s="129" t="s">
        <v>303</v>
      </c>
      <c r="F36" s="130"/>
      <c r="G36" s="130"/>
    </row>
    <row r="37" spans="3:15">
      <c r="C37" s="115"/>
      <c r="D37" s="115"/>
      <c r="E37" s="126"/>
      <c r="F37" s="115"/>
      <c r="G37" s="115"/>
    </row>
    <row r="38" spans="3:15">
      <c r="C38" s="127" t="s">
        <v>36</v>
      </c>
      <c r="D38" s="130" t="s">
        <v>304</v>
      </c>
      <c r="E38" s="130"/>
      <c r="F38" s="130"/>
      <c r="G38" s="130"/>
    </row>
    <row r="44" spans="3:15" ht="15" customHeight="1">
      <c r="C44" s="134" t="s">
        <v>305</v>
      </c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</row>
    <row r="45" spans="3:15" ht="16.5" customHeight="1"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</row>
    <row r="47" spans="3:15" ht="14.25" customHeight="1">
      <c r="C47" s="109" t="s">
        <v>306</v>
      </c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</row>
    <row r="48" spans="3:15"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</row>
    <row r="49" spans="3:15"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O49" s="135"/>
    </row>
    <row r="50" spans="3:15"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6" t="s">
        <v>271</v>
      </c>
      <c r="O50" s="135"/>
    </row>
    <row r="51" spans="3:15"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</row>
    <row r="52" spans="3:15"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</row>
  </sheetData>
  <mergeCells count="16">
    <mergeCell ref="D38:G38"/>
    <mergeCell ref="C44:O45"/>
    <mergeCell ref="C47:O48"/>
    <mergeCell ref="E21:G23"/>
    <mergeCell ref="E25:G27"/>
    <mergeCell ref="D29:G30"/>
    <mergeCell ref="E32:G32"/>
    <mergeCell ref="E34:G34"/>
    <mergeCell ref="E36:G36"/>
    <mergeCell ref="A1:C4"/>
    <mergeCell ref="C9:G12"/>
    <mergeCell ref="C13:G14"/>
    <mergeCell ref="I13:O14"/>
    <mergeCell ref="D16:G16"/>
    <mergeCell ref="H16:H17"/>
    <mergeCell ref="E17:G19"/>
  </mergeCells>
  <conditionalFormatting sqref="B7:C8 B16:C43 B10:B15 D17 D25 D21 I20:L20 N20 B44:B52 B53:C54 B56:C1048576 B55 N50">
    <cfRule type="containsText" dxfId="5" priority="5" operator="containsText" text="BEOBACHTEN">
      <formula>NOT(ISERROR(SEARCH("BEOBACHTEN",B7)))</formula>
    </cfRule>
    <cfRule type="containsText" dxfId="4" priority="6" operator="containsText" text="AKTIV">
      <formula>NOT(ISERROR(SEARCH("AKTIV",B7)))</formula>
    </cfRule>
  </conditionalFormatting>
  <conditionalFormatting sqref="B7:C8 B16:C43 B10:B15 D17 D25 D21 I20:L20 N20 B44:B52 B53:C54 B56:C1048576 B55 N50">
    <cfRule type="containsText" dxfId="3" priority="4" operator="containsText" text="LANGFRISTIG">
      <formula>NOT(ISERROR(SEARCH("LANGFRISTIG",B7)))</formula>
    </cfRule>
  </conditionalFormatting>
  <conditionalFormatting sqref="D32:D36">
    <cfRule type="containsText" dxfId="2" priority="1" operator="containsText" text="LANGFRISTIG">
      <formula>NOT(ISERROR(SEARCH("LANGFRISTIG",D32)))</formula>
    </cfRule>
    <cfRule type="containsText" dxfId="1" priority="2" operator="containsText" text="BEOBACHTEN">
      <formula>NOT(ISERROR(SEARCH("BEOBACHTEN",D32)))</formula>
    </cfRule>
    <cfRule type="containsText" dxfId="0" priority="3" operator="containsText" text="AKTIV">
      <formula>NOT(ISERROR(SEARCH("AKTIV",D32)))</formula>
    </cfRule>
  </conditionalFormatting>
  <hyperlinks>
    <hyperlink ref="O3" r:id="rId1" xr:uid="{B405B42A-B137-4B8E-9A25-2590E72E526D}"/>
  </hyperlinks>
  <pageMargins left="0.7" right="0.7" top="0.75" bottom="0.75" header="0.3" footer="0.3"/>
  <pageSetup paperSize="9" orientation="landscape" r:id="rId2"/>
  <headerFooter>
    <oddFooter>&amp;R_x000D_&amp;1#&amp;"Arial"&amp;12&amp;KFF9800 CONFIDENTIAL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17BBB-39B6-4A57-8841-C56C22B4295D}">
  <sheetPr>
    <tabColor rgb="FF334155"/>
    <pageSetUpPr autoPageBreaks="0"/>
  </sheetPr>
  <dimension ref="A1:N63"/>
  <sheetViews>
    <sheetView showGridLines="0" zoomScaleNormal="100" workbookViewId="0">
      <selection activeCell="C7" sqref="C7"/>
    </sheetView>
  </sheetViews>
  <sheetFormatPr baseColWidth="10" defaultColWidth="9.140625" defaultRowHeight="14.25"/>
  <cols>
    <col min="1" max="1" width="0.5703125" style="1" customWidth="1"/>
    <col min="2" max="2" width="19.28515625" style="1" customWidth="1"/>
    <col min="3" max="3" width="14.28515625" style="1" customWidth="1"/>
    <col min="4" max="4" width="35.85546875" style="1" customWidth="1"/>
    <col min="5" max="5" width="20" style="2" customWidth="1"/>
    <col min="6" max="6" width="65.85546875" style="1" customWidth="1"/>
    <col min="7" max="7" width="8.28515625" style="1" customWidth="1"/>
    <col min="8" max="8" width="50.42578125" style="1" customWidth="1"/>
    <col min="9" max="9" width="9.42578125" style="11" customWidth="1"/>
    <col min="10" max="10" width="15.5703125" style="1" customWidth="1"/>
    <col min="11" max="12" width="13.5703125" style="1" customWidth="1"/>
    <col min="13" max="13" width="40.28515625" style="1" customWidth="1"/>
    <col min="14" max="14" width="56.140625" style="1" customWidth="1"/>
    <col min="15" max="16384" width="9.140625" style="1"/>
  </cols>
  <sheetData>
    <row r="1" spans="1:14" ht="15" customHeight="1">
      <c r="A1" s="83"/>
      <c r="B1" s="83"/>
      <c r="C1" s="83"/>
      <c r="F1" s="53"/>
      <c r="G1" s="53"/>
      <c r="H1" s="53"/>
      <c r="I1" s="53"/>
      <c r="J1" s="53"/>
      <c r="K1" s="53"/>
      <c r="L1" s="53"/>
      <c r="M1" s="53"/>
      <c r="N1" s="65" t="s">
        <v>269</v>
      </c>
    </row>
    <row r="2" spans="1:14">
      <c r="A2" s="83"/>
      <c r="B2" s="83"/>
      <c r="C2" s="83"/>
      <c r="N2" s="65" t="s">
        <v>272</v>
      </c>
    </row>
    <row r="3" spans="1:14">
      <c r="A3" s="83"/>
      <c r="B3" s="83"/>
      <c r="C3" s="83"/>
      <c r="N3" s="65" t="s">
        <v>270</v>
      </c>
    </row>
    <row r="4" spans="1:14">
      <c r="A4" s="83"/>
      <c r="B4" s="83"/>
      <c r="C4" s="83"/>
    </row>
    <row r="5" spans="1:14" ht="14.25" customHeight="1">
      <c r="B5" s="84" t="s">
        <v>0</v>
      </c>
      <c r="C5" s="81" t="s">
        <v>2</v>
      </c>
      <c r="D5" s="81" t="s">
        <v>1</v>
      </c>
      <c r="E5" s="84" t="s">
        <v>5</v>
      </c>
      <c r="F5" s="81" t="s">
        <v>3</v>
      </c>
      <c r="G5" s="81" t="s">
        <v>44</v>
      </c>
      <c r="H5" s="81" t="s">
        <v>4</v>
      </c>
      <c r="I5" s="81" t="s">
        <v>23</v>
      </c>
      <c r="J5" s="81" t="s">
        <v>36</v>
      </c>
      <c r="K5" s="81" t="s">
        <v>37</v>
      </c>
      <c r="L5" s="81" t="s">
        <v>38</v>
      </c>
      <c r="M5" s="81" t="s">
        <v>227</v>
      </c>
      <c r="N5" s="81" t="s">
        <v>228</v>
      </c>
    </row>
    <row r="6" spans="1:14" ht="15" customHeight="1">
      <c r="B6" s="85"/>
      <c r="C6" s="82"/>
      <c r="D6" s="82"/>
      <c r="E6" s="85"/>
      <c r="F6" s="82"/>
      <c r="G6" s="82"/>
      <c r="H6" s="82"/>
      <c r="I6" s="82"/>
      <c r="J6" s="82"/>
      <c r="K6" s="82"/>
      <c r="L6" s="82"/>
      <c r="M6" s="82"/>
      <c r="N6" s="82"/>
    </row>
    <row r="7" spans="1:14">
      <c r="B7" s="8" t="s">
        <v>19</v>
      </c>
      <c r="C7" s="6" t="s">
        <v>91</v>
      </c>
      <c r="D7" s="3" t="s">
        <v>54</v>
      </c>
      <c r="E7" s="55" t="s">
        <v>7</v>
      </c>
      <c r="F7" s="14" t="s">
        <v>92</v>
      </c>
      <c r="G7" s="17">
        <v>1</v>
      </c>
      <c r="H7" s="36" t="s">
        <v>9</v>
      </c>
      <c r="I7" s="60">
        <v>1</v>
      </c>
      <c r="J7" s="4">
        <v>22654284.390000001</v>
      </c>
      <c r="K7" s="5">
        <v>44565</v>
      </c>
      <c r="L7" s="6" t="s">
        <v>47</v>
      </c>
      <c r="M7" s="6" t="s">
        <v>229</v>
      </c>
      <c r="N7" s="64" t="s">
        <v>268</v>
      </c>
    </row>
    <row r="8" spans="1:14">
      <c r="B8" s="8" t="s">
        <v>19</v>
      </c>
      <c r="C8" s="25" t="s">
        <v>164</v>
      </c>
      <c r="D8" s="14" t="s">
        <v>35</v>
      </c>
      <c r="E8" s="9" t="s">
        <v>6</v>
      </c>
      <c r="F8" s="14" t="s">
        <v>165</v>
      </c>
      <c r="G8" s="24">
        <v>3</v>
      </c>
      <c r="H8" s="58" t="s">
        <v>166</v>
      </c>
      <c r="I8" s="40" t="s">
        <v>167</v>
      </c>
      <c r="J8" s="4">
        <v>15068600</v>
      </c>
      <c r="K8" s="5">
        <v>44613</v>
      </c>
      <c r="L8" s="6" t="s">
        <v>47</v>
      </c>
      <c r="M8" s="6" t="s">
        <v>230</v>
      </c>
      <c r="N8" s="64" t="s">
        <v>268</v>
      </c>
    </row>
    <row r="9" spans="1:14">
      <c r="B9" s="8" t="s">
        <v>19</v>
      </c>
      <c r="C9" s="7" t="s">
        <v>80</v>
      </c>
      <c r="D9" s="3" t="s">
        <v>32</v>
      </c>
      <c r="E9" s="9" t="s">
        <v>17</v>
      </c>
      <c r="F9" s="14" t="s">
        <v>81</v>
      </c>
      <c r="G9" s="17">
        <v>2</v>
      </c>
      <c r="H9" s="36" t="s">
        <v>82</v>
      </c>
      <c r="I9" s="40">
        <v>3</v>
      </c>
      <c r="J9" s="4">
        <v>25501040</v>
      </c>
      <c r="K9" s="5">
        <v>44516</v>
      </c>
      <c r="L9" s="6" t="s">
        <v>49</v>
      </c>
      <c r="M9" s="6" t="s">
        <v>231</v>
      </c>
      <c r="N9" s="64" t="s">
        <v>268</v>
      </c>
    </row>
    <row r="10" spans="1:14" ht="15" customHeight="1">
      <c r="B10" s="8" t="s">
        <v>19</v>
      </c>
      <c r="C10" s="69" t="s">
        <v>100</v>
      </c>
      <c r="D10" s="74" t="s">
        <v>101</v>
      </c>
      <c r="E10" s="9" t="s">
        <v>17</v>
      </c>
      <c r="F10" s="1" t="s">
        <v>102</v>
      </c>
      <c r="G10" s="17">
        <v>11</v>
      </c>
      <c r="H10" s="59" t="s">
        <v>103</v>
      </c>
      <c r="I10" s="41" t="s">
        <v>104</v>
      </c>
      <c r="J10" s="4">
        <v>21709000</v>
      </c>
      <c r="K10" s="79">
        <v>44599</v>
      </c>
      <c r="L10" s="6" t="s">
        <v>47</v>
      </c>
      <c r="M10" s="6" t="s">
        <v>60</v>
      </c>
      <c r="N10" s="64" t="s">
        <v>268</v>
      </c>
    </row>
    <row r="11" spans="1:14">
      <c r="B11" s="13" t="s">
        <v>22</v>
      </c>
      <c r="C11" s="25" t="s">
        <v>189</v>
      </c>
      <c r="D11" s="14" t="s">
        <v>190</v>
      </c>
      <c r="E11" s="9" t="s">
        <v>17</v>
      </c>
      <c r="F11" s="14" t="s">
        <v>191</v>
      </c>
      <c r="G11" s="24">
        <v>1</v>
      </c>
      <c r="H11" s="38" t="s">
        <v>192</v>
      </c>
      <c r="I11" s="60">
        <v>1</v>
      </c>
      <c r="J11" s="4">
        <v>13103262.699999999</v>
      </c>
      <c r="K11" s="28">
        <v>44601</v>
      </c>
      <c r="L11" s="51" t="s">
        <v>47</v>
      </c>
      <c r="M11" s="80" t="s">
        <v>268</v>
      </c>
      <c r="N11" s="64" t="s">
        <v>268</v>
      </c>
    </row>
    <row r="12" spans="1:14">
      <c r="B12" s="8" t="s">
        <v>19</v>
      </c>
      <c r="C12" s="7" t="s">
        <v>108</v>
      </c>
      <c r="D12" s="3" t="s">
        <v>21</v>
      </c>
      <c r="E12" s="26" t="s">
        <v>7</v>
      </c>
      <c r="F12" s="14" t="s">
        <v>109</v>
      </c>
      <c r="G12" s="17">
        <v>1</v>
      </c>
      <c r="H12" s="36" t="s">
        <v>110</v>
      </c>
      <c r="I12" s="40">
        <v>3</v>
      </c>
      <c r="J12" s="4">
        <v>21151014.23</v>
      </c>
      <c r="K12" s="16">
        <v>44641</v>
      </c>
      <c r="L12" s="6" t="s">
        <v>47</v>
      </c>
      <c r="M12" s="6" t="s">
        <v>59</v>
      </c>
      <c r="N12" s="64" t="s">
        <v>268</v>
      </c>
    </row>
    <row r="13" spans="1:14">
      <c r="B13" s="8" t="s">
        <v>19</v>
      </c>
      <c r="C13" s="7" t="s">
        <v>105</v>
      </c>
      <c r="D13" s="3" t="s">
        <v>39</v>
      </c>
      <c r="E13" s="26" t="s">
        <v>7</v>
      </c>
      <c r="F13" s="14" t="s">
        <v>106</v>
      </c>
      <c r="G13" s="17">
        <v>3</v>
      </c>
      <c r="H13" s="36" t="s">
        <v>107</v>
      </c>
      <c r="I13" s="39">
        <v>1</v>
      </c>
      <c r="J13" s="4">
        <v>21429123</v>
      </c>
      <c r="K13" s="16">
        <v>44628</v>
      </c>
      <c r="L13" s="6" t="s">
        <v>47</v>
      </c>
      <c r="M13" s="6" t="s">
        <v>232</v>
      </c>
      <c r="N13" s="64" t="s">
        <v>268</v>
      </c>
    </row>
    <row r="14" spans="1:14">
      <c r="B14" s="8" t="s">
        <v>19</v>
      </c>
      <c r="C14" s="25" t="s">
        <v>168</v>
      </c>
      <c r="D14" s="14" t="s">
        <v>178</v>
      </c>
      <c r="E14" s="26" t="s">
        <v>7</v>
      </c>
      <c r="F14" s="14" t="s">
        <v>169</v>
      </c>
      <c r="G14" s="24">
        <v>1</v>
      </c>
      <c r="H14" s="38" t="s">
        <v>170</v>
      </c>
      <c r="I14" s="40">
        <v>4</v>
      </c>
      <c r="J14" s="4">
        <v>15000000</v>
      </c>
      <c r="K14" s="16">
        <v>44614</v>
      </c>
      <c r="L14" s="7" t="s">
        <v>47</v>
      </c>
      <c r="M14" s="7" t="s">
        <v>233</v>
      </c>
      <c r="N14" s="64" t="s">
        <v>268</v>
      </c>
    </row>
    <row r="15" spans="1:14">
      <c r="B15" s="68" t="s">
        <v>19</v>
      </c>
      <c r="C15" s="7" t="s">
        <v>16</v>
      </c>
      <c r="D15" s="3" t="s">
        <v>40</v>
      </c>
      <c r="E15" s="9" t="s">
        <v>6</v>
      </c>
      <c r="F15" s="3" t="s">
        <v>13</v>
      </c>
      <c r="G15" s="17">
        <v>1</v>
      </c>
      <c r="H15" s="36" t="s">
        <v>12</v>
      </c>
      <c r="I15" s="40">
        <v>2</v>
      </c>
      <c r="J15" s="4">
        <v>4000000</v>
      </c>
      <c r="K15" s="16">
        <v>44676</v>
      </c>
      <c r="L15" s="7" t="s">
        <v>48</v>
      </c>
      <c r="M15" s="7" t="s">
        <v>60</v>
      </c>
      <c r="N15" s="64" t="s">
        <v>268</v>
      </c>
    </row>
    <row r="16" spans="1:14">
      <c r="B16" s="8" t="s">
        <v>19</v>
      </c>
      <c r="C16" s="7" t="s">
        <v>111</v>
      </c>
      <c r="D16" s="3" t="s">
        <v>21</v>
      </c>
      <c r="E16" s="9" t="s">
        <v>17</v>
      </c>
      <c r="F16" s="14" t="s">
        <v>112</v>
      </c>
      <c r="G16" s="17">
        <v>4</v>
      </c>
      <c r="H16" s="36" t="s">
        <v>113</v>
      </c>
      <c r="I16" s="40" t="s">
        <v>114</v>
      </c>
      <c r="J16" s="4">
        <v>21015552</v>
      </c>
      <c r="K16" s="16">
        <v>44673</v>
      </c>
      <c r="L16" s="7" t="s">
        <v>48</v>
      </c>
      <c r="M16" s="7" t="s">
        <v>235</v>
      </c>
      <c r="N16" s="64" t="s">
        <v>268</v>
      </c>
    </row>
    <row r="17" spans="2:14">
      <c r="B17" s="8" t="s">
        <v>19</v>
      </c>
      <c r="C17" s="7" t="s">
        <v>93</v>
      </c>
      <c r="D17" s="3" t="s">
        <v>94</v>
      </c>
      <c r="E17" s="9" t="s">
        <v>6</v>
      </c>
      <c r="F17" s="14" t="s">
        <v>95</v>
      </c>
      <c r="G17" s="17">
        <v>2</v>
      </c>
      <c r="H17" s="36" t="s">
        <v>96</v>
      </c>
      <c r="I17" s="40">
        <v>2</v>
      </c>
      <c r="J17" s="4">
        <v>22437884.300000001</v>
      </c>
      <c r="K17" s="16">
        <v>44694</v>
      </c>
      <c r="L17" s="7" t="s">
        <v>48</v>
      </c>
      <c r="M17" s="7" t="s">
        <v>236</v>
      </c>
      <c r="N17" s="64" t="s">
        <v>268</v>
      </c>
    </row>
    <row r="18" spans="2:14">
      <c r="B18" s="8" t="s">
        <v>19</v>
      </c>
      <c r="C18" s="25" t="s">
        <v>179</v>
      </c>
      <c r="D18" s="14" t="s">
        <v>225</v>
      </c>
      <c r="E18" s="26" t="s">
        <v>7</v>
      </c>
      <c r="F18" s="14" t="s">
        <v>180</v>
      </c>
      <c r="G18" s="24">
        <v>1</v>
      </c>
      <c r="H18" s="38" t="s">
        <v>181</v>
      </c>
      <c r="I18" s="39">
        <v>1</v>
      </c>
      <c r="J18" s="4">
        <v>13959660</v>
      </c>
      <c r="K18" s="28">
        <v>44698</v>
      </c>
      <c r="L18" s="25" t="s">
        <v>52</v>
      </c>
      <c r="M18" s="25" t="s">
        <v>237</v>
      </c>
      <c r="N18" s="64" t="s">
        <v>268</v>
      </c>
    </row>
    <row r="19" spans="2:14">
      <c r="B19" s="8" t="s">
        <v>19</v>
      </c>
      <c r="C19" s="7" t="s">
        <v>74</v>
      </c>
      <c r="D19" s="3" t="s">
        <v>39</v>
      </c>
      <c r="E19" s="26" t="s">
        <v>7</v>
      </c>
      <c r="F19" s="12" t="s">
        <v>75</v>
      </c>
      <c r="G19" s="17">
        <v>1</v>
      </c>
      <c r="H19" s="36" t="s">
        <v>76</v>
      </c>
      <c r="I19" s="40">
        <v>6</v>
      </c>
      <c r="J19" s="4">
        <v>26400000</v>
      </c>
      <c r="K19" s="16">
        <v>44683</v>
      </c>
      <c r="L19" s="7" t="s">
        <v>48</v>
      </c>
      <c r="M19" s="7" t="s">
        <v>62</v>
      </c>
      <c r="N19" s="64" t="s">
        <v>268</v>
      </c>
    </row>
    <row r="20" spans="2:14">
      <c r="B20" s="68" t="s">
        <v>19</v>
      </c>
      <c r="C20" s="25" t="s">
        <v>171</v>
      </c>
      <c r="D20" s="14" t="s">
        <v>172</v>
      </c>
      <c r="E20" s="26" t="s">
        <v>7</v>
      </c>
      <c r="F20" s="56" t="s">
        <v>173</v>
      </c>
      <c r="G20" s="24">
        <v>1</v>
      </c>
      <c r="H20" s="38" t="s">
        <v>174</v>
      </c>
      <c r="I20" s="40">
        <v>5</v>
      </c>
      <c r="J20" s="4">
        <v>15000000</v>
      </c>
      <c r="K20" s="16">
        <v>44708</v>
      </c>
      <c r="L20" s="7" t="s">
        <v>48</v>
      </c>
      <c r="M20" s="7" t="s">
        <v>63</v>
      </c>
      <c r="N20" s="64" t="s">
        <v>268</v>
      </c>
    </row>
    <row r="21" spans="2:14">
      <c r="B21" s="8" t="s">
        <v>19</v>
      </c>
      <c r="C21" s="7" t="s">
        <v>29</v>
      </c>
      <c r="D21" s="3" t="s">
        <v>30</v>
      </c>
      <c r="E21" s="9" t="s">
        <v>6</v>
      </c>
      <c r="F21" s="12" t="s">
        <v>45</v>
      </c>
      <c r="G21" s="17">
        <v>2</v>
      </c>
      <c r="H21" s="36" t="s">
        <v>31</v>
      </c>
      <c r="I21" s="39">
        <v>1</v>
      </c>
      <c r="J21" s="4">
        <v>28000000</v>
      </c>
      <c r="K21" s="10">
        <v>44725</v>
      </c>
      <c r="L21" s="7" t="s">
        <v>48</v>
      </c>
      <c r="M21" s="7" t="s">
        <v>238</v>
      </c>
      <c r="N21" s="64" t="s">
        <v>268</v>
      </c>
    </row>
    <row r="22" spans="2:14">
      <c r="B22" s="8" t="s">
        <v>19</v>
      </c>
      <c r="C22" s="25" t="s">
        <v>154</v>
      </c>
      <c r="D22" s="14" t="s">
        <v>155</v>
      </c>
      <c r="E22" s="26" t="s">
        <v>7</v>
      </c>
      <c r="F22" s="14" t="s">
        <v>156</v>
      </c>
      <c r="G22" s="24">
        <v>1</v>
      </c>
      <c r="H22" s="38" t="s">
        <v>157</v>
      </c>
      <c r="I22" s="40">
        <v>3</v>
      </c>
      <c r="J22" s="4">
        <v>15891310.43</v>
      </c>
      <c r="K22" s="16">
        <v>44719</v>
      </c>
      <c r="L22" s="7" t="s">
        <v>48</v>
      </c>
      <c r="M22" s="7" t="s">
        <v>239</v>
      </c>
      <c r="N22" s="64" t="s">
        <v>268</v>
      </c>
    </row>
    <row r="23" spans="2:14">
      <c r="B23" s="8" t="s">
        <v>19</v>
      </c>
      <c r="C23" s="7" t="s">
        <v>69</v>
      </c>
      <c r="D23" s="3" t="s">
        <v>41</v>
      </c>
      <c r="E23" s="9" t="s">
        <v>17</v>
      </c>
      <c r="F23" s="3" t="s">
        <v>70</v>
      </c>
      <c r="G23" s="17">
        <v>42</v>
      </c>
      <c r="H23" s="37" t="s">
        <v>71</v>
      </c>
      <c r="I23" s="39" t="s">
        <v>72</v>
      </c>
      <c r="J23" s="4">
        <v>26810065.210000001</v>
      </c>
      <c r="K23" s="16">
        <v>44712</v>
      </c>
      <c r="L23" s="7" t="s">
        <v>48</v>
      </c>
      <c r="M23" s="7" t="s">
        <v>240</v>
      </c>
      <c r="N23" s="64" t="s">
        <v>268</v>
      </c>
    </row>
    <row r="24" spans="2:14">
      <c r="B24" s="13" t="s">
        <v>22</v>
      </c>
      <c r="C24" s="25" t="s">
        <v>209</v>
      </c>
      <c r="D24" s="14" t="s">
        <v>210</v>
      </c>
      <c r="E24" s="9" t="s">
        <v>6</v>
      </c>
      <c r="F24" s="14" t="s">
        <v>211</v>
      </c>
      <c r="G24" s="24">
        <v>1</v>
      </c>
      <c r="H24" s="38" t="s">
        <v>212</v>
      </c>
      <c r="I24" s="40">
        <v>2</v>
      </c>
      <c r="J24" s="4">
        <v>10553613.859999999</v>
      </c>
      <c r="K24" s="28">
        <v>44739</v>
      </c>
      <c r="L24" s="25" t="s">
        <v>48</v>
      </c>
      <c r="M24" s="25" t="s">
        <v>241</v>
      </c>
      <c r="N24" s="64" t="s">
        <v>268</v>
      </c>
    </row>
    <row r="25" spans="2:14">
      <c r="B25" s="8" t="s">
        <v>19</v>
      </c>
      <c r="C25" s="7" t="s">
        <v>25</v>
      </c>
      <c r="D25" s="3" t="s">
        <v>43</v>
      </c>
      <c r="E25" s="9" t="s">
        <v>17</v>
      </c>
      <c r="F25" s="15" t="s">
        <v>46</v>
      </c>
      <c r="G25" s="17">
        <v>3</v>
      </c>
      <c r="H25" s="78" t="s">
        <v>26</v>
      </c>
      <c r="I25" s="39" t="s">
        <v>27</v>
      </c>
      <c r="J25" s="4">
        <v>18500000</v>
      </c>
      <c r="K25" s="10">
        <v>44715</v>
      </c>
      <c r="L25" s="7" t="s">
        <v>48</v>
      </c>
      <c r="M25" s="7" t="s">
        <v>61</v>
      </c>
      <c r="N25" s="64" t="s">
        <v>268</v>
      </c>
    </row>
    <row r="26" spans="2:14">
      <c r="B26" s="8" t="s">
        <v>19</v>
      </c>
      <c r="C26" s="25" t="s">
        <v>142</v>
      </c>
      <c r="D26" s="14" t="s">
        <v>54</v>
      </c>
      <c r="E26" s="9" t="s">
        <v>17</v>
      </c>
      <c r="F26" s="14" t="s">
        <v>143</v>
      </c>
      <c r="G26" s="24">
        <v>1</v>
      </c>
      <c r="H26" s="38" t="s">
        <v>90</v>
      </c>
      <c r="I26" s="42">
        <v>11</v>
      </c>
      <c r="J26" s="4">
        <v>17743540</v>
      </c>
      <c r="K26" s="16">
        <v>44705</v>
      </c>
      <c r="L26" s="7" t="s">
        <v>48</v>
      </c>
      <c r="M26" s="7" t="s">
        <v>62</v>
      </c>
      <c r="N26" s="64" t="s">
        <v>268</v>
      </c>
    </row>
    <row r="27" spans="2:14">
      <c r="B27" s="8" t="s">
        <v>19</v>
      </c>
      <c r="C27" s="7" t="s">
        <v>264</v>
      </c>
      <c r="D27" s="3" t="s">
        <v>265</v>
      </c>
      <c r="E27" s="9" t="s">
        <v>17</v>
      </c>
      <c r="F27" s="15" t="s">
        <v>266</v>
      </c>
      <c r="G27" s="17">
        <v>1</v>
      </c>
      <c r="H27" s="36" t="s">
        <v>90</v>
      </c>
      <c r="I27" s="35" t="s">
        <v>267</v>
      </c>
      <c r="J27" s="4">
        <v>9702290</v>
      </c>
      <c r="K27" s="10">
        <v>44705</v>
      </c>
      <c r="L27" s="7" t="s">
        <v>48</v>
      </c>
      <c r="M27" s="7" t="s">
        <v>62</v>
      </c>
      <c r="N27" s="64" t="s">
        <v>268</v>
      </c>
    </row>
    <row r="28" spans="2:14">
      <c r="B28" s="8" t="s">
        <v>19</v>
      </c>
      <c r="C28" s="25" t="s">
        <v>124</v>
      </c>
      <c r="D28" s="14" t="s">
        <v>125</v>
      </c>
      <c r="E28" s="9" t="s">
        <v>6</v>
      </c>
      <c r="F28" s="27" t="s">
        <v>126</v>
      </c>
      <c r="G28" s="24">
        <v>1</v>
      </c>
      <c r="H28" s="38" t="s">
        <v>127</v>
      </c>
      <c r="I28" s="41">
        <v>1</v>
      </c>
      <c r="J28" s="4">
        <v>19317700</v>
      </c>
      <c r="K28" s="16">
        <v>44551</v>
      </c>
      <c r="L28" s="7" t="s">
        <v>49</v>
      </c>
      <c r="M28" s="7" t="s">
        <v>242</v>
      </c>
      <c r="N28" s="64" t="s">
        <v>268</v>
      </c>
    </row>
    <row r="29" spans="2:14">
      <c r="B29" s="8" t="s">
        <v>19</v>
      </c>
      <c r="C29" s="25" t="s">
        <v>118</v>
      </c>
      <c r="D29" s="14" t="s">
        <v>54</v>
      </c>
      <c r="E29" s="9" t="s">
        <v>17</v>
      </c>
      <c r="F29" s="27" t="s">
        <v>119</v>
      </c>
      <c r="G29" s="24">
        <v>1</v>
      </c>
      <c r="H29" s="14" t="s">
        <v>120</v>
      </c>
      <c r="I29" s="40">
        <v>13</v>
      </c>
      <c r="J29" s="4">
        <v>20518000</v>
      </c>
      <c r="K29" s="16">
        <v>44739</v>
      </c>
      <c r="L29" s="7" t="s">
        <v>48</v>
      </c>
      <c r="M29" s="7" t="s">
        <v>62</v>
      </c>
      <c r="N29" s="64" t="s">
        <v>268</v>
      </c>
    </row>
    <row r="30" spans="2:14">
      <c r="B30" s="8" t="s">
        <v>19</v>
      </c>
      <c r="C30" s="25" t="s">
        <v>203</v>
      </c>
      <c r="D30" s="14" t="s">
        <v>54</v>
      </c>
      <c r="E30" s="9" t="s">
        <v>17</v>
      </c>
      <c r="F30" s="27" t="s">
        <v>204</v>
      </c>
      <c r="G30" s="24">
        <v>1</v>
      </c>
      <c r="H30" s="14" t="s">
        <v>205</v>
      </c>
      <c r="I30" s="44">
        <v>2</v>
      </c>
      <c r="J30" s="4">
        <v>10821900</v>
      </c>
      <c r="K30" s="28">
        <v>44559</v>
      </c>
      <c r="L30" s="25" t="s">
        <v>49</v>
      </c>
      <c r="M30" s="25" t="s">
        <v>62</v>
      </c>
      <c r="N30" s="64" t="s">
        <v>268</v>
      </c>
    </row>
    <row r="31" spans="2:14">
      <c r="B31" s="8" t="s">
        <v>19</v>
      </c>
      <c r="C31" s="25" t="s">
        <v>213</v>
      </c>
      <c r="D31" s="14" t="s">
        <v>214</v>
      </c>
      <c r="E31" s="9" t="s">
        <v>17</v>
      </c>
      <c r="F31" s="27" t="s">
        <v>215</v>
      </c>
      <c r="G31" s="24">
        <v>1</v>
      </c>
      <c r="H31" s="14" t="s">
        <v>216</v>
      </c>
      <c r="I31" s="61">
        <v>4</v>
      </c>
      <c r="J31" s="4">
        <v>10530000</v>
      </c>
      <c r="K31" s="28">
        <v>44774</v>
      </c>
      <c r="L31" s="25" t="s">
        <v>49</v>
      </c>
      <c r="M31" s="25" t="s">
        <v>244</v>
      </c>
      <c r="N31" s="64" t="s">
        <v>268</v>
      </c>
    </row>
    <row r="32" spans="2:14">
      <c r="B32" s="8" t="s">
        <v>19</v>
      </c>
      <c r="C32" s="7" t="s">
        <v>86</v>
      </c>
      <c r="D32" s="3" t="s">
        <v>39</v>
      </c>
      <c r="E32" s="9" t="s">
        <v>6</v>
      </c>
      <c r="F32" s="27" t="s">
        <v>87</v>
      </c>
      <c r="G32" s="17">
        <v>1</v>
      </c>
      <c r="H32" s="3" t="s">
        <v>9</v>
      </c>
      <c r="I32" s="41">
        <v>1</v>
      </c>
      <c r="J32" s="4">
        <v>25000000</v>
      </c>
      <c r="K32" s="16">
        <v>44743</v>
      </c>
      <c r="L32" s="7" t="s">
        <v>48</v>
      </c>
      <c r="M32" s="7" t="s">
        <v>58</v>
      </c>
      <c r="N32" s="64" t="s">
        <v>268</v>
      </c>
    </row>
    <row r="33" spans="2:14">
      <c r="B33" s="13" t="s">
        <v>22</v>
      </c>
      <c r="C33" s="7" t="s">
        <v>88</v>
      </c>
      <c r="D33" s="3" t="s">
        <v>21</v>
      </c>
      <c r="E33" s="26" t="s">
        <v>7</v>
      </c>
      <c r="F33" s="27" t="s">
        <v>89</v>
      </c>
      <c r="G33" s="17">
        <v>1</v>
      </c>
      <c r="H33" s="3" t="s">
        <v>90</v>
      </c>
      <c r="I33" s="40">
        <v>5</v>
      </c>
      <c r="J33" s="4">
        <v>23049600</v>
      </c>
      <c r="K33" s="16">
        <v>44788</v>
      </c>
      <c r="L33" s="7" t="s">
        <v>50</v>
      </c>
      <c r="M33" s="7" t="s">
        <v>243</v>
      </c>
      <c r="N33" s="64" t="s">
        <v>268</v>
      </c>
    </row>
    <row r="34" spans="2:14">
      <c r="B34" s="13" t="s">
        <v>22</v>
      </c>
      <c r="C34" s="25" t="s">
        <v>206</v>
      </c>
      <c r="D34" s="14" t="s">
        <v>226</v>
      </c>
      <c r="E34" s="9" t="s">
        <v>17</v>
      </c>
      <c r="F34" s="27" t="s">
        <v>207</v>
      </c>
      <c r="G34" s="24">
        <v>2</v>
      </c>
      <c r="H34" s="14" t="s">
        <v>208</v>
      </c>
      <c r="I34" s="43" t="s">
        <v>24</v>
      </c>
      <c r="J34" s="4">
        <v>10584000</v>
      </c>
      <c r="K34" s="28">
        <v>44769</v>
      </c>
      <c r="L34" s="25" t="s">
        <v>50</v>
      </c>
      <c r="M34" s="25" t="s">
        <v>245</v>
      </c>
      <c r="N34" s="64" t="s">
        <v>268</v>
      </c>
    </row>
    <row r="35" spans="2:14">
      <c r="B35" s="8" t="s">
        <v>19</v>
      </c>
      <c r="C35" s="7" t="s">
        <v>14</v>
      </c>
      <c r="D35" s="3" t="s">
        <v>39</v>
      </c>
      <c r="E35" s="9" t="s">
        <v>17</v>
      </c>
      <c r="F35" s="27" t="s">
        <v>18</v>
      </c>
      <c r="G35" s="17">
        <v>1</v>
      </c>
      <c r="H35" s="3" t="s">
        <v>9</v>
      </c>
      <c r="I35" s="41">
        <v>1</v>
      </c>
      <c r="J35" s="4">
        <v>23000000</v>
      </c>
      <c r="K35" s="16">
        <v>44741</v>
      </c>
      <c r="L35" s="7" t="s">
        <v>48</v>
      </c>
      <c r="M35" s="7" t="s">
        <v>59</v>
      </c>
      <c r="N35" s="64" t="s">
        <v>268</v>
      </c>
    </row>
    <row r="36" spans="2:14">
      <c r="B36" s="8" t="s">
        <v>19</v>
      </c>
      <c r="C36" s="25" t="s">
        <v>175</v>
      </c>
      <c r="D36" s="14" t="s">
        <v>125</v>
      </c>
      <c r="E36" s="9" t="s">
        <v>6</v>
      </c>
      <c r="F36" s="27" t="s">
        <v>176</v>
      </c>
      <c r="G36" s="24">
        <v>1</v>
      </c>
      <c r="H36" s="14" t="s">
        <v>177</v>
      </c>
      <c r="I36" s="39">
        <v>1</v>
      </c>
      <c r="J36" s="4">
        <v>15000000</v>
      </c>
      <c r="K36" s="16">
        <v>44805</v>
      </c>
      <c r="L36" s="7" t="s">
        <v>50</v>
      </c>
      <c r="M36" s="7" t="s">
        <v>246</v>
      </c>
      <c r="N36" s="64" t="s">
        <v>268</v>
      </c>
    </row>
    <row r="37" spans="2:14">
      <c r="B37" s="8" t="s">
        <v>19</v>
      </c>
      <c r="C37" s="25" t="s">
        <v>150</v>
      </c>
      <c r="D37" s="14" t="s">
        <v>33</v>
      </c>
      <c r="E37" s="9" t="s">
        <v>6</v>
      </c>
      <c r="F37" s="27" t="s">
        <v>151</v>
      </c>
      <c r="G37" s="24">
        <v>1</v>
      </c>
      <c r="H37" s="14" t="s">
        <v>152</v>
      </c>
      <c r="I37" s="45">
        <v>2</v>
      </c>
      <c r="J37" s="4">
        <v>16253000</v>
      </c>
      <c r="K37" s="16">
        <v>44816</v>
      </c>
      <c r="L37" s="7" t="s">
        <v>50</v>
      </c>
      <c r="M37" s="7" t="s">
        <v>60</v>
      </c>
      <c r="N37" s="64" t="s">
        <v>268</v>
      </c>
    </row>
    <row r="38" spans="2:14">
      <c r="B38" s="13" t="s">
        <v>22</v>
      </c>
      <c r="C38" s="7" t="s">
        <v>55</v>
      </c>
      <c r="D38" s="3" t="s">
        <v>57</v>
      </c>
      <c r="E38" s="9" t="s">
        <v>17</v>
      </c>
      <c r="F38" s="15" t="s">
        <v>56</v>
      </c>
      <c r="G38" s="17">
        <v>1</v>
      </c>
      <c r="H38" s="3" t="s">
        <v>34</v>
      </c>
      <c r="I38" s="46">
        <v>3</v>
      </c>
      <c r="J38" s="4">
        <v>28214305</v>
      </c>
      <c r="K38" s="16">
        <v>44817</v>
      </c>
      <c r="L38" s="7" t="s">
        <v>53</v>
      </c>
      <c r="M38" s="7" t="s">
        <v>247</v>
      </c>
      <c r="N38" s="64" t="s">
        <v>268</v>
      </c>
    </row>
    <row r="39" spans="2:14">
      <c r="B39" s="13" t="s">
        <v>22</v>
      </c>
      <c r="C39" s="25" t="s">
        <v>182</v>
      </c>
      <c r="D39" s="14" t="s">
        <v>183</v>
      </c>
      <c r="E39" s="20" t="s">
        <v>6</v>
      </c>
      <c r="F39" s="27" t="s">
        <v>184</v>
      </c>
      <c r="G39" s="24">
        <v>1</v>
      </c>
      <c r="H39" s="14" t="s">
        <v>185</v>
      </c>
      <c r="I39" s="48">
        <v>1</v>
      </c>
      <c r="J39" s="4">
        <v>13865003.039999999</v>
      </c>
      <c r="K39" s="28">
        <v>44826</v>
      </c>
      <c r="L39" s="25" t="s">
        <v>50</v>
      </c>
      <c r="M39" s="25" t="s">
        <v>248</v>
      </c>
      <c r="N39" s="64" t="s">
        <v>268</v>
      </c>
    </row>
    <row r="40" spans="2:14">
      <c r="B40" s="8" t="s">
        <v>19</v>
      </c>
      <c r="C40" s="25" t="s">
        <v>128</v>
      </c>
      <c r="D40" s="14" t="s">
        <v>222</v>
      </c>
      <c r="E40" s="21" t="s">
        <v>6</v>
      </c>
      <c r="F40" s="14" t="s">
        <v>129</v>
      </c>
      <c r="G40" s="24">
        <v>3</v>
      </c>
      <c r="H40" s="14" t="s">
        <v>130</v>
      </c>
      <c r="I40" s="35" t="s">
        <v>131</v>
      </c>
      <c r="J40" s="4">
        <v>19300000</v>
      </c>
      <c r="K40" s="16">
        <v>44838</v>
      </c>
      <c r="L40" s="7" t="s">
        <v>51</v>
      </c>
      <c r="M40" s="7" t="s">
        <v>249</v>
      </c>
      <c r="N40" s="64" t="s">
        <v>268</v>
      </c>
    </row>
    <row r="41" spans="2:14">
      <c r="B41" s="8" t="s">
        <v>19</v>
      </c>
      <c r="C41" s="25" t="s">
        <v>200</v>
      </c>
      <c r="D41" s="14" t="s">
        <v>219</v>
      </c>
      <c r="E41" s="21" t="s">
        <v>17</v>
      </c>
      <c r="F41" s="18" t="s">
        <v>201</v>
      </c>
      <c r="G41" s="24">
        <v>3</v>
      </c>
      <c r="H41" s="14" t="s">
        <v>202</v>
      </c>
      <c r="I41" s="35">
        <v>2</v>
      </c>
      <c r="J41" s="4">
        <v>12310924</v>
      </c>
      <c r="K41" s="28">
        <v>44820</v>
      </c>
      <c r="L41" s="25" t="s">
        <v>50</v>
      </c>
      <c r="M41" s="25" t="s">
        <v>250</v>
      </c>
      <c r="N41" s="64" t="s">
        <v>268</v>
      </c>
    </row>
    <row r="42" spans="2:14">
      <c r="B42" s="8" t="s">
        <v>19</v>
      </c>
      <c r="C42" s="25" t="s">
        <v>132</v>
      </c>
      <c r="D42" s="14" t="s">
        <v>21</v>
      </c>
      <c r="E42" s="21" t="s">
        <v>17</v>
      </c>
      <c r="F42" s="18" t="s">
        <v>133</v>
      </c>
      <c r="G42" s="24">
        <v>2</v>
      </c>
      <c r="H42" s="14" t="s">
        <v>134</v>
      </c>
      <c r="I42" s="46" t="s">
        <v>73</v>
      </c>
      <c r="J42" s="4">
        <v>18048000</v>
      </c>
      <c r="K42" s="16">
        <v>44844</v>
      </c>
      <c r="L42" s="7" t="s">
        <v>51</v>
      </c>
      <c r="M42" s="7" t="s">
        <v>59</v>
      </c>
      <c r="N42" s="64" t="s">
        <v>268</v>
      </c>
    </row>
    <row r="43" spans="2:14">
      <c r="B43" s="8" t="s">
        <v>19</v>
      </c>
      <c r="C43" s="7" t="s">
        <v>65</v>
      </c>
      <c r="D43" s="54" t="s">
        <v>33</v>
      </c>
      <c r="E43" s="21" t="s">
        <v>17</v>
      </c>
      <c r="F43" s="77" t="s">
        <v>66</v>
      </c>
      <c r="G43" s="57">
        <v>6</v>
      </c>
      <c r="H43" s="54" t="s">
        <v>67</v>
      </c>
      <c r="I43" s="40" t="s">
        <v>68</v>
      </c>
      <c r="J43" s="4">
        <v>27000000</v>
      </c>
      <c r="K43" s="16">
        <v>44841</v>
      </c>
      <c r="L43" s="7" t="s">
        <v>51</v>
      </c>
      <c r="M43" s="7" t="s">
        <v>62</v>
      </c>
      <c r="N43" s="64" t="s">
        <v>268</v>
      </c>
    </row>
    <row r="44" spans="2:14">
      <c r="B44" s="8" t="s">
        <v>19</v>
      </c>
      <c r="C44" s="25" t="s">
        <v>144</v>
      </c>
      <c r="D44" s="75" t="s">
        <v>32</v>
      </c>
      <c r="E44" s="22" t="s">
        <v>17</v>
      </c>
      <c r="F44" s="14" t="s">
        <v>145</v>
      </c>
      <c r="G44" s="24">
        <v>1</v>
      </c>
      <c r="H44" s="14" t="s">
        <v>146</v>
      </c>
      <c r="I44" s="46">
        <v>3</v>
      </c>
      <c r="J44" s="4">
        <v>17126070</v>
      </c>
      <c r="K44" s="16">
        <v>44830</v>
      </c>
      <c r="L44" s="7" t="s">
        <v>50</v>
      </c>
      <c r="M44" s="7" t="s">
        <v>62</v>
      </c>
      <c r="N44" s="64" t="s">
        <v>268</v>
      </c>
    </row>
    <row r="45" spans="2:14">
      <c r="B45" s="13" t="s">
        <v>22</v>
      </c>
      <c r="C45" s="7" t="s">
        <v>115</v>
      </c>
      <c r="D45" s="19" t="s">
        <v>223</v>
      </c>
      <c r="E45" s="22" t="s">
        <v>6</v>
      </c>
      <c r="F45" s="14" t="s">
        <v>116</v>
      </c>
      <c r="G45" s="17">
        <v>1</v>
      </c>
      <c r="H45" s="3" t="s">
        <v>117</v>
      </c>
      <c r="I45" s="40">
        <v>7</v>
      </c>
      <c r="J45" s="4">
        <v>21000000</v>
      </c>
      <c r="K45" s="16">
        <v>44859</v>
      </c>
      <c r="L45" s="7" t="s">
        <v>51</v>
      </c>
      <c r="M45" s="62" t="s">
        <v>268</v>
      </c>
      <c r="N45" s="64" t="s">
        <v>268</v>
      </c>
    </row>
    <row r="46" spans="2:14">
      <c r="B46" s="13" t="s">
        <v>22</v>
      </c>
      <c r="C46" s="25" t="s">
        <v>158</v>
      </c>
      <c r="D46" s="75" t="s">
        <v>33</v>
      </c>
      <c r="E46" s="22" t="s">
        <v>6</v>
      </c>
      <c r="F46" s="14" t="s">
        <v>159</v>
      </c>
      <c r="G46" s="24">
        <v>1</v>
      </c>
      <c r="H46" s="14" t="s">
        <v>160</v>
      </c>
      <c r="I46" s="47">
        <v>1</v>
      </c>
      <c r="J46" s="4">
        <v>15500000</v>
      </c>
      <c r="K46" s="16">
        <v>44882</v>
      </c>
      <c r="L46" s="7" t="s">
        <v>51</v>
      </c>
      <c r="M46" s="7" t="s">
        <v>60</v>
      </c>
      <c r="N46" s="64" t="s">
        <v>268</v>
      </c>
    </row>
    <row r="47" spans="2:14">
      <c r="B47" s="13" t="s">
        <v>22</v>
      </c>
      <c r="C47" s="25" t="s">
        <v>138</v>
      </c>
      <c r="D47" s="75" t="s">
        <v>139</v>
      </c>
      <c r="E47" s="22" t="s">
        <v>17</v>
      </c>
      <c r="F47" s="14" t="s">
        <v>140</v>
      </c>
      <c r="G47" s="24">
        <v>1</v>
      </c>
      <c r="H47" s="14" t="s">
        <v>141</v>
      </c>
      <c r="I47" s="35">
        <v>3</v>
      </c>
      <c r="J47" s="4">
        <v>17792439</v>
      </c>
      <c r="K47" s="16">
        <v>44879</v>
      </c>
      <c r="L47" s="7" t="s">
        <v>51</v>
      </c>
      <c r="M47" s="7" t="s">
        <v>251</v>
      </c>
      <c r="N47" s="64" t="s">
        <v>268</v>
      </c>
    </row>
    <row r="48" spans="2:14">
      <c r="B48" s="13" t="s">
        <v>22</v>
      </c>
      <c r="C48" s="7" t="s">
        <v>260</v>
      </c>
      <c r="D48" s="19" t="s">
        <v>261</v>
      </c>
      <c r="E48" s="22" t="s">
        <v>17</v>
      </c>
      <c r="F48" s="3" t="s">
        <v>262</v>
      </c>
      <c r="G48" s="17">
        <v>1</v>
      </c>
      <c r="H48" s="3" t="s">
        <v>28</v>
      </c>
      <c r="I48" s="47">
        <v>1</v>
      </c>
      <c r="J48" s="4">
        <v>10000000</v>
      </c>
      <c r="K48" s="10">
        <v>44372</v>
      </c>
      <c r="L48" s="7" t="s">
        <v>263</v>
      </c>
      <c r="M48" s="7" t="s">
        <v>254</v>
      </c>
      <c r="N48" s="64" t="s">
        <v>268</v>
      </c>
    </row>
    <row r="49" spans="2:14">
      <c r="B49" s="13" t="s">
        <v>22</v>
      </c>
      <c r="C49" s="25" t="s">
        <v>121</v>
      </c>
      <c r="D49" s="75" t="s">
        <v>42</v>
      </c>
      <c r="E49" s="22" t="s">
        <v>17</v>
      </c>
      <c r="F49" s="14" t="s">
        <v>122</v>
      </c>
      <c r="G49" s="24">
        <v>1</v>
      </c>
      <c r="H49" s="14" t="s">
        <v>123</v>
      </c>
      <c r="I49" s="45">
        <v>9</v>
      </c>
      <c r="J49" s="4">
        <v>20000000</v>
      </c>
      <c r="K49" s="16">
        <v>44854</v>
      </c>
      <c r="L49" s="7" t="s">
        <v>51</v>
      </c>
      <c r="M49" s="7" t="s">
        <v>234</v>
      </c>
      <c r="N49" s="64" t="s">
        <v>268</v>
      </c>
    </row>
    <row r="50" spans="2:14">
      <c r="B50" s="8" t="s">
        <v>19</v>
      </c>
      <c r="C50" s="7" t="s">
        <v>77</v>
      </c>
      <c r="D50" s="19" t="s">
        <v>21</v>
      </c>
      <c r="E50" s="22" t="s">
        <v>17</v>
      </c>
      <c r="F50" s="14" t="s">
        <v>78</v>
      </c>
      <c r="G50" s="17">
        <v>2</v>
      </c>
      <c r="H50" s="3" t="s">
        <v>79</v>
      </c>
      <c r="I50" s="35">
        <v>3</v>
      </c>
      <c r="J50" s="4">
        <v>26149197.309999999</v>
      </c>
      <c r="K50" s="16">
        <v>44862</v>
      </c>
      <c r="L50" s="7" t="s">
        <v>51</v>
      </c>
      <c r="M50" s="7" t="s">
        <v>60</v>
      </c>
      <c r="N50" s="64" t="s">
        <v>268</v>
      </c>
    </row>
    <row r="51" spans="2:14">
      <c r="B51" s="13" t="s">
        <v>22</v>
      </c>
      <c r="C51" s="25" t="s">
        <v>135</v>
      </c>
      <c r="D51" s="75" t="s">
        <v>221</v>
      </c>
      <c r="E51" s="22" t="s">
        <v>17</v>
      </c>
      <c r="F51" s="14" t="s">
        <v>136</v>
      </c>
      <c r="G51" s="24">
        <v>1</v>
      </c>
      <c r="H51" s="14" t="s">
        <v>137</v>
      </c>
      <c r="I51" s="35">
        <v>3</v>
      </c>
      <c r="J51" s="4">
        <v>18000000</v>
      </c>
      <c r="K51" s="16">
        <v>44768</v>
      </c>
      <c r="L51" s="7" t="s">
        <v>50</v>
      </c>
      <c r="M51" s="62" t="s">
        <v>268</v>
      </c>
      <c r="N51" s="52" t="s">
        <v>259</v>
      </c>
    </row>
    <row r="52" spans="2:14">
      <c r="B52" s="13" t="s">
        <v>22</v>
      </c>
      <c r="C52" s="25" t="s">
        <v>147</v>
      </c>
      <c r="D52" s="75" t="s">
        <v>41</v>
      </c>
      <c r="E52" s="22" t="s">
        <v>17</v>
      </c>
      <c r="F52" s="14" t="s">
        <v>148</v>
      </c>
      <c r="G52" s="24">
        <v>30</v>
      </c>
      <c r="H52" s="14" t="s">
        <v>149</v>
      </c>
      <c r="I52" s="49" t="s">
        <v>153</v>
      </c>
      <c r="J52" s="4">
        <v>17096941.710000001</v>
      </c>
      <c r="K52" s="16">
        <v>44537</v>
      </c>
      <c r="L52" s="7" t="s">
        <v>49</v>
      </c>
      <c r="M52" s="7" t="s">
        <v>64</v>
      </c>
      <c r="N52" s="64" t="s">
        <v>268</v>
      </c>
    </row>
    <row r="53" spans="2:14">
      <c r="B53" s="8" t="s">
        <v>19</v>
      </c>
      <c r="C53" s="72" t="s">
        <v>196</v>
      </c>
      <c r="D53" s="76" t="s">
        <v>197</v>
      </c>
      <c r="E53" s="23" t="s">
        <v>7</v>
      </c>
      <c r="F53" s="14" t="s">
        <v>198</v>
      </c>
      <c r="G53" s="24">
        <v>1</v>
      </c>
      <c r="H53" s="14" t="s">
        <v>199</v>
      </c>
      <c r="I53" s="35">
        <v>4</v>
      </c>
      <c r="J53" s="4">
        <v>10405440</v>
      </c>
      <c r="K53" s="28">
        <v>44901</v>
      </c>
      <c r="L53" s="25" t="s">
        <v>51</v>
      </c>
      <c r="M53" s="25" t="s">
        <v>252</v>
      </c>
      <c r="N53" s="64" t="s">
        <v>268</v>
      </c>
    </row>
    <row r="54" spans="2:14">
      <c r="B54" s="29" t="s">
        <v>22</v>
      </c>
      <c r="C54" s="70" t="s">
        <v>161</v>
      </c>
      <c r="D54" s="31" t="s">
        <v>220</v>
      </c>
      <c r="E54" s="22" t="s">
        <v>17</v>
      </c>
      <c r="F54" s="14" t="s">
        <v>162</v>
      </c>
      <c r="G54" s="24">
        <v>1</v>
      </c>
      <c r="H54" s="14" t="s">
        <v>163</v>
      </c>
      <c r="I54" s="50">
        <v>1</v>
      </c>
      <c r="J54" s="4">
        <v>15318165</v>
      </c>
      <c r="K54" s="16">
        <v>44881</v>
      </c>
      <c r="L54" s="7" t="s">
        <v>51</v>
      </c>
      <c r="M54" s="7" t="s">
        <v>253</v>
      </c>
      <c r="N54" s="64" t="s">
        <v>268</v>
      </c>
    </row>
    <row r="55" spans="2:14">
      <c r="B55" s="30" t="s">
        <v>19</v>
      </c>
      <c r="C55" s="73" t="s">
        <v>186</v>
      </c>
      <c r="D55" s="31" t="s">
        <v>217</v>
      </c>
      <c r="E55" s="23" t="s">
        <v>7</v>
      </c>
      <c r="F55" s="14" t="s">
        <v>187</v>
      </c>
      <c r="G55" s="24">
        <v>1</v>
      </c>
      <c r="H55" s="14" t="s">
        <v>188</v>
      </c>
      <c r="I55" s="45">
        <v>2</v>
      </c>
      <c r="J55" s="4">
        <v>10190250</v>
      </c>
      <c r="K55" s="28">
        <v>44894</v>
      </c>
      <c r="L55" s="25" t="s">
        <v>51</v>
      </c>
      <c r="M55" s="25" t="s">
        <v>254</v>
      </c>
      <c r="N55" s="64" t="s">
        <v>268</v>
      </c>
    </row>
    <row r="56" spans="2:14">
      <c r="B56" s="30" t="s">
        <v>19</v>
      </c>
      <c r="C56" s="33" t="s">
        <v>97</v>
      </c>
      <c r="D56" s="32" t="s">
        <v>218</v>
      </c>
      <c r="E56" s="22" t="s">
        <v>17</v>
      </c>
      <c r="F56" s="14" t="s">
        <v>98</v>
      </c>
      <c r="G56" s="17">
        <v>1</v>
      </c>
      <c r="H56" s="3" t="s">
        <v>99</v>
      </c>
      <c r="I56" s="47">
        <v>1</v>
      </c>
      <c r="J56" s="4">
        <v>21752820</v>
      </c>
      <c r="K56" s="16">
        <v>44902</v>
      </c>
      <c r="L56" s="7" t="s">
        <v>51</v>
      </c>
      <c r="M56" s="7" t="s">
        <v>255</v>
      </c>
      <c r="N56" s="64" t="s">
        <v>268</v>
      </c>
    </row>
    <row r="57" spans="2:14">
      <c r="B57" s="30" t="s">
        <v>19</v>
      </c>
      <c r="C57" s="34" t="s">
        <v>83</v>
      </c>
      <c r="D57" s="32" t="s">
        <v>84</v>
      </c>
      <c r="E57" s="22" t="s">
        <v>6</v>
      </c>
      <c r="F57" s="14" t="s">
        <v>85</v>
      </c>
      <c r="G57" s="17">
        <v>2</v>
      </c>
      <c r="H57" s="3" t="s">
        <v>20</v>
      </c>
      <c r="I57" s="47">
        <v>1</v>
      </c>
      <c r="J57" s="4">
        <v>25376456.219999999</v>
      </c>
      <c r="K57" s="16">
        <v>44903</v>
      </c>
      <c r="L57" s="7" t="s">
        <v>51</v>
      </c>
      <c r="M57" s="6" t="s">
        <v>256</v>
      </c>
      <c r="N57" s="64" t="s">
        <v>268</v>
      </c>
    </row>
    <row r="58" spans="2:14">
      <c r="B58" s="29" t="s">
        <v>22</v>
      </c>
      <c r="C58" s="34" t="s">
        <v>15</v>
      </c>
      <c r="D58" s="32" t="s">
        <v>40</v>
      </c>
      <c r="E58" s="22" t="s">
        <v>6</v>
      </c>
      <c r="F58" s="3" t="s">
        <v>11</v>
      </c>
      <c r="G58" s="17">
        <v>1</v>
      </c>
      <c r="H58" s="3" t="s">
        <v>10</v>
      </c>
      <c r="I58" s="35">
        <v>2</v>
      </c>
      <c r="J58" s="4">
        <v>11000000</v>
      </c>
      <c r="K58" s="16">
        <v>44915</v>
      </c>
      <c r="L58" s="7" t="s">
        <v>51</v>
      </c>
      <c r="M58" s="7" t="s">
        <v>257</v>
      </c>
      <c r="N58" s="64" t="s">
        <v>268</v>
      </c>
    </row>
    <row r="59" spans="2:14">
      <c r="B59" s="29" t="s">
        <v>22</v>
      </c>
      <c r="C59" s="71" t="s">
        <v>193</v>
      </c>
      <c r="D59" s="31" t="s">
        <v>224</v>
      </c>
      <c r="E59" s="23" t="s">
        <v>7</v>
      </c>
      <c r="F59" s="14" t="s">
        <v>194</v>
      </c>
      <c r="G59" s="24">
        <v>1</v>
      </c>
      <c r="H59" s="14" t="s">
        <v>195</v>
      </c>
      <c r="I59" s="47">
        <v>1</v>
      </c>
      <c r="J59" s="4">
        <v>1309274.5</v>
      </c>
      <c r="K59" s="28">
        <v>44917</v>
      </c>
      <c r="L59" s="25" t="s">
        <v>51</v>
      </c>
      <c r="M59" s="25" t="s">
        <v>258</v>
      </c>
      <c r="N59" s="64" t="s">
        <v>268</v>
      </c>
    </row>
    <row r="61" spans="2:14">
      <c r="N61" s="63" t="s">
        <v>8</v>
      </c>
    </row>
    <row r="62" spans="2:14">
      <c r="N62" s="66" t="s">
        <v>271</v>
      </c>
    </row>
    <row r="63" spans="2:14">
      <c r="J63" s="67"/>
    </row>
  </sheetData>
  <autoFilter ref="B6:N59" xr:uid="{00000000-0001-0000-0000-000000000000}">
    <sortState xmlns:xlrd2="http://schemas.microsoft.com/office/spreadsheetml/2017/richdata2" ref="B8:N59">
      <sortCondition ref="C6:C59"/>
    </sortState>
  </autoFilter>
  <mergeCells count="14">
    <mergeCell ref="N5:N6"/>
    <mergeCell ref="M5:M6"/>
    <mergeCell ref="F5:F6"/>
    <mergeCell ref="G5:G6"/>
    <mergeCell ref="A1:C4"/>
    <mergeCell ref="B5:B6"/>
    <mergeCell ref="C5:C6"/>
    <mergeCell ref="D5:D6"/>
    <mergeCell ref="E5:E6"/>
    <mergeCell ref="H5:H6"/>
    <mergeCell ref="J5:J6"/>
    <mergeCell ref="K5:K6"/>
    <mergeCell ref="L5:L6"/>
    <mergeCell ref="I5:I6"/>
  </mergeCells>
  <phoneticPr fontId="8" type="noConversion"/>
  <conditionalFormatting sqref="B10:B11 F38:F40">
    <cfRule type="containsText" dxfId="32" priority="214" operator="containsText" text="LANGFRISTIG">
      <formula>NOT(ISERROR(SEARCH("LANGFRISTIG",B10)))</formula>
    </cfRule>
    <cfRule type="containsText" dxfId="31" priority="215" operator="containsText" text="BEOBACHTEN">
      <formula>NOT(ISERROR(SEARCH("BEOBACHTEN",B10)))</formula>
    </cfRule>
    <cfRule type="containsText" dxfId="30" priority="216" operator="containsText" text="AKTIV">
      <formula>NOT(ISERROR(SEARCH("AKTIV",B10)))</formula>
    </cfRule>
  </conditionalFormatting>
  <conditionalFormatting sqref="B13:B14 B25:C59 B61:C1048576">
    <cfRule type="containsText" dxfId="29" priority="208" operator="containsText" text="LANGFRISTIG">
      <formula>NOT(ISERROR(SEARCH("LANGFRISTIG",B13)))</formula>
    </cfRule>
    <cfRule type="containsText" dxfId="28" priority="209" operator="containsText" text="BEOBACHTEN">
      <formula>NOT(ISERROR(SEARCH("BEOBACHTEN",B13)))</formula>
    </cfRule>
    <cfRule type="containsText" dxfId="27" priority="210" operator="containsText" text="AKTIV">
      <formula>NOT(ISERROR(SEARCH("AKTIV",B13)))</formula>
    </cfRule>
  </conditionalFormatting>
  <conditionalFormatting sqref="B21:B24">
    <cfRule type="containsText" dxfId="26" priority="196" operator="containsText" text="LANGFRISTIG">
      <formula>NOT(ISERROR(SEARCH("LANGFRISTIG",B21)))</formula>
    </cfRule>
    <cfRule type="containsText" dxfId="25" priority="197" operator="containsText" text="BEOBACHTEN">
      <formula>NOT(ISERROR(SEARCH("BEOBACHTEN",B21)))</formula>
    </cfRule>
    <cfRule type="containsText" dxfId="24" priority="198" operator="containsText" text="AKTIV">
      <formula>NOT(ISERROR(SEARCH("AKTIV",B21)))</formula>
    </cfRule>
  </conditionalFormatting>
  <conditionalFormatting sqref="B5:C5 B7:F7 B8:D9 F8:F9 E8:E35 C10:C24 E25:F25 E27:F34 F35 E36:F37">
    <cfRule type="containsText" dxfId="23" priority="241" operator="containsText" text="LANGFRISTIG">
      <formula>NOT(ISERROR(SEARCH("LANGFRISTIG",B5)))</formula>
    </cfRule>
    <cfRule type="containsText" dxfId="22" priority="242" operator="containsText" text="BEOBACHTEN">
      <formula>NOT(ISERROR(SEARCH("BEOBACHTEN",B5)))</formula>
    </cfRule>
    <cfRule type="containsText" dxfId="21" priority="243" operator="containsText" text="AKTIV">
      <formula>NOT(ISERROR(SEARCH("AKTIV",B5)))</formula>
    </cfRule>
  </conditionalFormatting>
  <conditionalFormatting sqref="G7:G52 B16:B19 E38:E59">
    <cfRule type="containsText" dxfId="20" priority="199" operator="containsText" text="LANGFRISTIG">
      <formula>NOT(ISERROR(SEARCH("LANGFRISTIG",B7)))</formula>
    </cfRule>
    <cfRule type="containsText" dxfId="19" priority="200" operator="containsText" text="BEOBACHTEN">
      <formula>NOT(ISERROR(SEARCH("BEOBACHTEN",B7)))</formula>
    </cfRule>
    <cfRule type="containsText" dxfId="18" priority="201" operator="containsText" text="AKTIV">
      <formula>NOT(ISERROR(SEARCH("AKTIV",B7)))</formula>
    </cfRule>
  </conditionalFormatting>
  <conditionalFormatting sqref="I8:I20">
    <cfRule type="containsText" dxfId="17" priority="193" operator="containsText" text="LANGFRISTIG">
      <formula>NOT(ISERROR(SEARCH("LANGFRISTIG",I8)))</formula>
    </cfRule>
    <cfRule type="containsText" dxfId="16" priority="194" operator="containsText" text="BEOBACHTEN">
      <formula>NOT(ISERROR(SEARCH("BEOBACHTEN",I8)))</formula>
    </cfRule>
    <cfRule type="containsText" dxfId="15" priority="195" operator="containsText" text="AKTIV">
      <formula>NOT(ISERROR(SEARCH("AKTIV",I8)))</formula>
    </cfRule>
  </conditionalFormatting>
  <conditionalFormatting sqref="I24:I25">
    <cfRule type="containsText" dxfId="14" priority="187" operator="containsText" text="LANGFRISTIG">
      <formula>NOT(ISERROR(SEARCH("LANGFRISTIG",I24)))</formula>
    </cfRule>
    <cfRule type="containsText" dxfId="13" priority="188" operator="containsText" text="BEOBACHTEN">
      <formula>NOT(ISERROR(SEARCH("BEOBACHTEN",I24)))</formula>
    </cfRule>
    <cfRule type="containsText" dxfId="12" priority="189" operator="containsText" text="AKTIV">
      <formula>NOT(ISERROR(SEARCH("AKTIV",I24)))</formula>
    </cfRule>
  </conditionalFormatting>
  <conditionalFormatting sqref="I28">
    <cfRule type="containsText" dxfId="11" priority="181" operator="containsText" text="LANGFRISTIG">
      <formula>NOT(ISERROR(SEARCH("LANGFRISTIG",I28)))</formula>
    </cfRule>
    <cfRule type="containsText" dxfId="10" priority="182" operator="containsText" text="BEOBACHTEN">
      <formula>NOT(ISERROR(SEARCH("BEOBACHTEN",I28)))</formula>
    </cfRule>
    <cfRule type="containsText" dxfId="9" priority="183" operator="containsText" text="AKTIV">
      <formula>NOT(ISERROR(SEARCH("AKTIV",I28)))</formula>
    </cfRule>
  </conditionalFormatting>
  <conditionalFormatting sqref="I30">
    <cfRule type="containsText" dxfId="8" priority="175" operator="containsText" text="LANGFRISTIG">
      <formula>NOT(ISERROR(SEARCH("LANGFRISTIG",I30)))</formula>
    </cfRule>
    <cfRule type="containsText" dxfId="7" priority="176" operator="containsText" text="BEOBACHTEN">
      <formula>NOT(ISERROR(SEARCH("BEOBACHTEN",I30)))</formula>
    </cfRule>
    <cfRule type="containsText" dxfId="6" priority="177" operator="containsText" text="AKTIV">
      <formula>NOT(ISERROR(SEARCH("AKTIV",I30)))</formula>
    </cfRule>
  </conditionalFormatting>
  <hyperlinks>
    <hyperlink ref="N3" r:id="rId1" xr:uid="{F927871A-9B6E-4985-BC3F-741D0DF73AC0}"/>
  </hyperlinks>
  <pageMargins left="0.7" right="0.7" top="0.75" bottom="0.75" header="0.3" footer="0.3"/>
  <pageSetup paperSize="9" orientation="landscape" r:id="rId2"/>
  <headerFooter>
    <oddFooter>&amp;R_x000D_&amp;1#&amp;"Arial"&amp;12&amp;KFF9800 CONFIDENTIAL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READ ME</vt:lpstr>
      <vt:lpstr>SCAN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Kotzur, Sven</dc:creator>
  <cp:lastModifiedBy>Kotzur, Sven</cp:lastModifiedBy>
  <dcterms:created xsi:type="dcterms:W3CDTF">2015-06-05T18:19:34Z</dcterms:created>
  <dcterms:modified xsi:type="dcterms:W3CDTF">2025-12-11T21:46:02Z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2c8c9-62d5-4508-990f-5e091a0d921e_Enabled">
    <vt:lpwstr>true</vt:lpwstr>
  </property>
  <property fmtid="{D5CDD505-2E9C-101B-9397-08002B2CF9AE}" pid="3" name="MSIP_Label_8a62c8c9-62d5-4508-990f-5e091a0d921e_SetDate">
    <vt:lpwstr>2025-12-02T08:34:46Z</vt:lpwstr>
  </property>
  <property fmtid="{D5CDD505-2E9C-101B-9397-08002B2CF9AE}" pid="4" name="MSIP_Label_8a62c8c9-62d5-4508-990f-5e091a0d921e_Method">
    <vt:lpwstr>Standard</vt:lpwstr>
  </property>
  <property fmtid="{D5CDD505-2E9C-101B-9397-08002B2CF9AE}" pid="5" name="MSIP_Label_8a62c8c9-62d5-4508-990f-5e091a0d921e_Name">
    <vt:lpwstr>confidential</vt:lpwstr>
  </property>
  <property fmtid="{D5CDD505-2E9C-101B-9397-08002B2CF9AE}" pid="6" name="MSIP_Label_8a62c8c9-62d5-4508-990f-5e091a0d921e_SiteId">
    <vt:lpwstr>7106b467-21bb-484c-9e4d-75fc460bec04</vt:lpwstr>
  </property>
  <property fmtid="{D5CDD505-2E9C-101B-9397-08002B2CF9AE}" pid="7" name="MSIP_Label_8a62c8c9-62d5-4508-990f-5e091a0d921e_ActionId">
    <vt:lpwstr>50ec0a30-12fc-44d6-921e-9a04ad77e3b4</vt:lpwstr>
  </property>
  <property fmtid="{D5CDD505-2E9C-101B-9397-08002B2CF9AE}" pid="8" name="MSIP_Label_8a62c8c9-62d5-4508-990f-5e091a0d921e_ContentBits">
    <vt:lpwstr>2</vt:lpwstr>
  </property>
  <property fmtid="{D5CDD505-2E9C-101B-9397-08002B2CF9AE}" pid="9" name="MSIP_Label_8a62c8c9-62d5-4508-990f-5e091a0d921e_Tag">
    <vt:lpwstr>10, 3, 0, 1</vt:lpwstr>
  </property>
</Properties>
</file>