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vorwerkholding-my.sharepoint.com/personal/sven_kotzur_vorwerk_de/Documents/Desktop/goVisor/"/>
    </mc:Choice>
  </mc:AlternateContent>
  <xr:revisionPtr revIDLastSave="1782" documentId="11_AD4DB114E441178AC67DF4AA7691DAC6693EDF1A" xr6:coauthVersionLast="47" xr6:coauthVersionMax="47" xr10:uidLastSave="{0EF5DA67-2E22-4EB7-B75E-257AB5338AD5}"/>
  <bookViews>
    <workbookView xWindow="40905" yWindow="0" windowWidth="44085" windowHeight="20985" activeTab="1" xr2:uid="{00000000-000D-0000-FFFF-FFFF00000000}"/>
  </bookViews>
  <sheets>
    <sheet name="AUSZUG" sheetId="3" r:id="rId1"/>
    <sheet name="PIPELINE 2026" sheetId="5" r:id="rId2"/>
    <sheet name="STRATEGY" sheetId="6" r:id="rId3"/>
    <sheet name="LEGENDE" sheetId="4" r:id="rId4"/>
  </sheets>
  <definedNames>
    <definedName name="_xlnm._FilterDatabase" localSheetId="0" hidden="1">AUSZUG!$B$6:$J$6</definedName>
    <definedName name="_xlnm._FilterDatabase" localSheetId="1" hidden="1">'PIPELINE 2026'!$B$6:$P$82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<sst xmlns="http://schemas.openxmlformats.org/spreadsheetml/2006/main" count="780" uniqueCount="417">
  <si>
    <t>Status</t>
  </si>
  <si>
    <t>Auftraggeber</t>
  </si>
  <si>
    <t>Vergabedatum</t>
  </si>
  <si>
    <t>The Cloud Networks Germany GmbH</t>
  </si>
  <si>
    <t>🔥 AKTIV</t>
  </si>
  <si>
    <t>📅 LANGFRISTIG</t>
  </si>
  <si>
    <t>Auftrags ID</t>
  </si>
  <si>
    <t>184424-2022</t>
  </si>
  <si>
    <t>Auftragsgegenstand</t>
  </si>
  <si>
    <t>Vergabepreis</t>
  </si>
  <si>
    <t>Aktueller Dienstleister</t>
  </si>
  <si>
    <t>Kategorie</t>
  </si>
  <si>
    <t>BwFuhrparkService GmbH</t>
  </si>
  <si>
    <t>CONET Business Consultants GmbH</t>
  </si>
  <si>
    <t>722385-2022</t>
  </si>
  <si>
    <t>671455-2022</t>
  </si>
  <si>
    <t>Deloitte Consulting GmbH</t>
  </si>
  <si>
    <r>
      <t xml:space="preserve">💻 </t>
    </r>
    <r>
      <rPr>
        <b/>
        <sz val="10"/>
        <color rgb="FF334155"/>
        <rFont val="Segoe UI"/>
        <family val="2"/>
      </rPr>
      <t>Hardware</t>
    </r>
  </si>
  <si>
    <r>
      <t xml:space="preserve">💾 </t>
    </r>
    <r>
      <rPr>
        <b/>
        <sz val="10"/>
        <color rgb="FF334155"/>
        <rFont val="Segoe UI"/>
        <family val="2"/>
      </rPr>
      <t>Software</t>
    </r>
  </si>
  <si>
    <t>Vertragsende*</t>
  </si>
  <si>
    <t>* Prognostiziertes Datum basierend auf historischer Laufzeit.</t>
  </si>
  <si>
    <t>Stand: 03.12.2025</t>
  </si>
  <si>
    <t>Computacenter AG &amp; Co. oHG</t>
  </si>
  <si>
    <t>IT-Dienstleistungszentrum</t>
  </si>
  <si>
    <t>Bechtle GmbH IT Systemhaus Saarbrücken</t>
  </si>
  <si>
    <t>Rahmenvereinbarung über Lieferung von Cisco Netzwerktechnik</t>
  </si>
  <si>
    <t>IT-Dienstleistungszentrum Berlin (AÖR)</t>
  </si>
  <si>
    <t>DTS Systeme GmbH</t>
  </si>
  <si>
    <t>Rahmenvertrag Netzwerksicherheitsprodukte</t>
  </si>
  <si>
    <t>478608-2022</t>
  </si>
  <si>
    <t>723549-2022</t>
  </si>
  <si>
    <t>224378-2022</t>
  </si>
  <si>
    <t>Information und Technik NRW</t>
  </si>
  <si>
    <t>Q2 2026</t>
  </si>
  <si>
    <t>Q4 2026</t>
  </si>
  <si>
    <r>
      <t xml:space="preserve">🛠 </t>
    </r>
    <r>
      <rPr>
        <b/>
        <sz val="10"/>
        <color rgb="FF334155"/>
        <rFont val="Segoe UI"/>
        <family val="2"/>
      </rPr>
      <t>Dienstleistung</t>
    </r>
  </si>
  <si>
    <t>Unterstützungsleistungen für die vorhandene Software DiAs NRW</t>
  </si>
  <si>
    <t>🔥 AKQUISE</t>
  </si>
  <si>
    <t>108115-2022</t>
  </si>
  <si>
    <t>RV PIV - Passive Infrastrukturverkabelung (753 Schulen)</t>
  </si>
  <si>
    <t>Multi-Vendor (15 Partner: u.a. Netgo, Arktis, The Cloud)</t>
  </si>
  <si>
    <t>193879-2022</t>
  </si>
  <si>
    <t>Rahmenvertrag SupTech &amp; Digital Transformation (AI/Prototyping)</t>
  </si>
  <si>
    <t>Lead Strategie:
Der Aufhänger: "Herr [Name], die EZB in Frankfurt stellt ihre Digital-Strategie ('SupTech') neu auf. Der 227-Millionen-Euro-Rahmenvertrag für Transformation und AI läuft im ersten Quartal 2026 aus. Sind Sie bereit für den Pitch in Frankfurt?"
Der Hebel:
Prestige: Das ist ein "Leuchtturm-Projekt". Wer die EZB als Kunden hat, gewinnt auch andere Banken.
Pool-Lösung: Es gibt 5 große Gewinner (Lot 1) und weitere für Lot 2. Die EZB sucht Breite in der Expertise (von Beratung bis AI-Prototyping).
Thema: Es geht stark um KI (Artificial Intelligence) und Prozess-Automatisierung. Wenn dein Kunde hier starke Referenzen hat, kann er die "alten" Beratungsriesen (Oliver Wyman, IBM) herausfordern.</t>
  </si>
  <si>
    <t>Lead Strategie:
Der Aufhänger: "Herr [Name], der 248-Millionen-Euro-Rahmenvertrag für die Schul-Verkabelung in Berlin läuft im ersten Quartal aus. Sind Sie bei der Neuvergabe schon als Partner gesetzt?"
Der Hebel: Das ist ein Multi-Partner-Vertrag (damals 15 Gewinner). Das Risiko für den Kunden ist gering, den Anbieter zu wechseln, da sie eh mehrere brauchen. Man muss nicht "den einen" verdrängen, sondern nur "einer von vielen" werden. Perfekt für den Markteintritt.</t>
  </si>
  <si>
    <t>Wenn Vertrag in 1-2 Quartalen ausläuft</t>
  </si>
  <si>
    <t>3-4 Quartale</t>
  </si>
  <si>
    <t>mehr als 4 Quartale</t>
  </si>
  <si>
    <t>689531-2022</t>
  </si>
  <si>
    <t>RV Netzwerk- &amp; TK-Komponenten (Cisco)</t>
  </si>
  <si>
    <t>CANCOM GmbH</t>
  </si>
  <si>
    <t>Lead Strategie:
Der Aufhänger: "Herr [Name], der zentrale Cisco-Rahmenvertrag der ProVitako über 160 Mio. € läuft Ende 2026 aus. CANCOM hält aktuell alle Lose. Wie sieht Ihre Strategie aus, um bei der Neuausschreibung für die angeschlossenen Kommunen (Nürnberg, Bonn, Mannheim etc.) einen Fuß in die Tür zu bekommen?"
Der Hebel:
Monopol brechen: CANCOM hat 2022 alle vier Lose abgeräumt. Das ist ein "Single Point of Failure" für die Kommunen. Das Argument für die nächste Runde ist Diversifizierung (Multi-Vendor-Strategie).
Technologie-Wechsel: Der Vertrag ist spezifisch auf "Cisco" ausgeschrieben. Wenn Ihr Kunde ein Wettbewerbsprodukt (Aruba, Juniper, Extreme) führt, muss er jetzt (2025/Anfang 2026) Lobbyarbeit leisten, damit die nächste Ausschreibung "herstellerneutral" formuliert wird. Wenn die Ausschreibung erst draußen ist, ist es zu spät.
Volumen: Es geht um Hardware, Wartung und Services. Selbst wenn man nur ein Los gewinnt, ist das ein Umsatzgarant für 4 Jahre.</t>
  </si>
  <si>
    <t>407126-2022</t>
  </si>
  <si>
    <t>HZD (Land Hessen)</t>
  </si>
  <si>
    <t>Multi-Vendor (SINC, Allgeier, CGI, Materna, SVA u.a.)</t>
  </si>
  <si>
    <t>Lead Strategie:
Der Aufhänger: "Herr [Name], der zentrale 90-Millionen-Euro-Rahmenvertrag der HZD Hessen für IT-Personal und Architektur läuft Mitte 2026 aus. Egal ob Microsoft, Cloud oder Testing – planen Sie, sich eines der 7 Lose zu sichern?"
Der Hebel:
Die "Salami-Taktik" (7 Lose): Der Auftrag ist extrem granular aufgeteilt (Los 1: Lösungsarchitekt, Los 3: Testcenter, Los 6: Nutanix, Los 7: Cloudmanagement). Das ist perfekt für Spezialisten. Man muss kein Generalist sein, um hier 5-10 Mio. € Umsatz (pro Los) abzugreifen.
Personal-Engpass: Der Titel sagt explizit "Personaldienstleistungen". Die HZD sucht händeringend "Fachmänner, Spezialisten und Experten". Wenn Ihr Kunde gute Recruiter hat oder einen starken "Bench" an Beratern, ist das der Einstieg.
Technologie-Fokus: Es werden sehr spezifische Skills gesucht (Nutanix, Microsoft System Center, Multi-Cloud). Wenn Ihr Kunde genau darin zertifiziert ist (z.B. SVA bei Nutanix ablösen), hat er ein starkes technisches Argument.</t>
  </si>
  <si>
    <t>283430-2022</t>
  </si>
  <si>
    <t>Split-Vendor (H&amp;G Hansen &amp; Gieraths, Bechtle)</t>
  </si>
  <si>
    <t>Lead Strategie:
Der Aufhänger: "Herr [Name], neben dem Netzwerk-Deal läuft auch der 80-Millionen-Euro-Vertrag der ProVitako für Clients (PCs/Monitore) im Frühjahr 2026 aus. Aktuell teilen sich Bechtle und H&amp;G den Markt. Wollen Sie bei der Neuverteilung der 10 Lose angreifen?"
Der Hebel:
Angriff auf das Duopol: Bechtle (Monitore, CAD) und H&amp;G (Tower, Mini-PCs) sitzen fest im Sattel. Aber: Bei Standard-Hardware zählt oft der Cent-Preis und die Lieferfähigkeit. Wenn Ihr Kunde bessere Konditionen bei Dell/HP/Lenovo hat, ist das die Chance.
Granularität: Es sind 10 Lose. Man muss nicht alles können. Ein Spezialist für Displays kann sich gezielt nur die Monitor-Lose (damals von Bechtle gewonnen) schnappen.
Logistik-Argument: Da es um physische Lieferung an viele Kommunen geht (KDN-Verband in NRW), kann ein regionaler Anbieter mit schnellem "Vor-Ort-Austausch" gegen den Riesen Bechtle punkten.</t>
  </si>
  <si>
    <t>Lead Strategie:
Der Aufhänger: "Herr [Name], die BwFuhrparkService hat ihre komplette SAP-Landschaft (73 Mio. €) aktuell bei einem einzigen Dienstleister (CONET) gebündelt. Der Vertrag endet Ende 2026. Planen Sie, dieses Monopol bei der nächsten Ausschreibung aufzubrechen?"
Der Hebel:
Klumpenrisiko: CONET hat alle 6 Lose gewonnen (Finance, Logistik, Automotive, SAP Basis etc.). Das ist für einen öffentlichen Auftraggeber ("Bundeswehr-Dienstleister") risikoreich. Das Argument für die Neuvergabe ist Diversifizierung.
Spezialisierung: Da es 6 getrennte Lose gibt, kann man gezielt Nischen angreifen (z.B. nur "Los 5: Enterprise Content Management" oder "Los 6: SAP Basis"), wo CONET vielleicht schwächer ist als ein Spezialist.
Projekt-Phase: Der Vertrag war für die Migration nach S/4 HANA ("Mix and Match" Ansatz). 2026 ist die Migration vermutlich durch, und es geht in den "Regelbetrieb". Das erfordert oft andere Skills/Preise als die teure Migrations-Beratung.</t>
  </si>
  <si>
    <t>RV SAP HANA Beratung &amp; Migration (Los 1: ITZBund)</t>
  </si>
  <si>
    <t>Lead Strategie:
Der Aufhänger: "Herr [Name], Deloitte hält aktuell den 72-Millionen-Euro-Vertrag für die SAP-HANA-Strategie beim ITZBund. Dieser läuft Ende 2026 aus. Damals gab es nur zwei Bieter. Sehen Sie eine Chance, sich bei der Neuvergabe als Alternative zu positionieren?"
Der Hebel:
Wenig Wettbewerb: Dass sich auf so ein Volumen nur 2 Anbieter beworben haben, deutet auf sehr hohe Hürden oder eine "zugeschnittene" Ausschreibung hin. Der Hebel ist hier: Partnerschaften. Alleine ist das ITZBund schwer zu knacken, aber als Konsortium gegen Deloitte hat man Chancen.
Strategie vs. Umsetzung: Der Vertrag deckt alles ab – von "Strategischer Beratung" bis "Klassische Einführung". Wenn dein Kunde stark in der technischen Umsetzung (Hands-on) ist, kann er argumentieren, dass Deloitte für die Strategie gut ist, aber für das "Doing" zu teuer/theoretisch.
Die anderen Lose: Der Text erwähnt explizit Los 2 (unmittelbare Bundesverwaltung) und Los 3 (mittelbare Verwaltung). Wenn Los 1 (ITZBund) zu groß ist, lohnt sich der Blick auf die "kleineren" Geschwister-Lose, die vermutlich zeitgleich auslaufen.</t>
  </si>
  <si>
    <t>Lead Strategie:
Der Aufhänger: "Herr [Name], das komplette Schul-WLAN in Berlin (58 Mio. €) wird aktuell von einem einzigen Anbieter ('The Cloud') betrieben. Der Vertrag über alle 13 Bezirke läuft im Frühjahr 2026 aus. Planen Sie, bei der Neuvergabe dieses Monopol anzugreifen?"
Der Hebel:
Lokale Stärke: Der Auftrag ist in 13 Bezirks-Lose aufgeteilt (Mitte, Pankow, Neukölln etc.). Man muss nicht ganz Berlin gewinnen. Ein lokaler IT-Dienstleister kann argumentieren: "Wir sitzen in Spandau und sind schneller vor Ort als der Großanbieter aus München."
Risiko-Minimierung: Dass ein Anbieter alle Lose hält, ist für das Land Berlin riskant (was, wenn 'The Cloud' pleite geht?). Bei der nächsten Runde wird man politisch wahrscheinlich mehr Diversifizierung wollen. Das ist die Chance für Nummer 2 und 3.
Service-Qualität: Schul-WLAN ist ein hochemotionales Thema (Lehrer/Eltern beschweren sich sofort). Wenn 'The Cloud' irgendwo schwächelt, ist das der Einfallswinkel.</t>
  </si>
  <si>
    <t>157320-2022</t>
  </si>
  <si>
    <t>CGI Deutschland (Dominant) / Computacenter (Los 3)</t>
  </si>
  <si>
    <t>Lead Strategie:
Der Aufhänger: "Herr [Name], beim Bayerischen LKA laufen Anfang 2026 die IT-Consulting-Verträge über 53 Mio. € aus. Aktuell hält CGI Deutschland fast alle Lose (6 von 7). Planen Sie, diese Monopolstellung bei der Neuvergabe anzugreifen?"
Der Hebel:
Vendor Lock-in: Dass ein Dienstleister (CGI) fast die komplette IT-Personalgestellung (von Projektleitung über SAP bis Mobile Dev) macht, ist für eine Sicherheitsbehörde strategisch riskant. Das Argument für 2026 ist "Mehr Schultern tragen die Last".
Spezialisierung: Die Lose sind thematisch sauber getrennt (Los 4: SAP, Los 7: Mobile/mPolice). Ein Spezialist für mobile App-Entwicklung kann gezielt Los 7 angreifen, ohne CGI im SAP-Bereich schlagen zu müssen.
Personal-Not: Es geht um Arbeitnehmerüberlassung (AÜG). CGI muss hunderte Leute stellen. Wenn die Qualität oder Verfügbarkeit auch nur leicht wackelt, sucht das LKA händeringend Alternativen.</t>
  </si>
  <si>
    <t>213102-2022</t>
  </si>
  <si>
    <t>RV IT-Beratung &amp; IT-Sicherheit (2 Lose)</t>
  </si>
  <si>
    <t>Split-Vendor (Bechtle, Deloitte)</t>
  </si>
  <si>
    <t>Lead Strategie:
Der Aufhänger: "Herr [Name], das LZPD NRW schreibt im Frühjahr 2026 die IT-Beratungsverträge der Polizei über 52 Mio. € neu aus. Aktuell teilen sich Bechtle und Deloitte den Kuchen. Haben Sie die Sicherheits-Freigaben und Experten, um hier ein Stück vom Kuchen zu holen?"
Der Hebel:
Hohe Hürden (Sicherheitsüberprüfung): Bei der Polizei NRW reinzukommen ist schwer (SÜ2/SÜ3 oft nötig). Wenn Ihr Kunde diese Freigaben hat, ist das ein massiver Wettbewerbsvorteil gegen "normale" IT-Buden.
Spezialisierung: Los 2 (IT-Sicherheit) mit 12 Mio. € ist perfekt für spezialisierte Security-Häuser (SOC, Pen-Testing, Forensik), die Deloitte angreifen wollen. Deloitte ist teuer und oft "High-Level". Ein technischer Spezialist kann hier punkten.
Bechtle-Angriff: Bechtle hat das große 40-Mio-Los gewonnen. Das ist eine riesige Flanke. Wenn man argumentieren kann, dass man agiler oder spezialisierter ist als der "Bauchladen" Bechtle, hat man eine Chance.</t>
  </si>
  <si>
    <t>👀 PIPELINE</t>
  </si>
  <si>
    <t>📅 LONG TERM</t>
  </si>
  <si>
    <t>453244-2022</t>
  </si>
  <si>
    <t>Split-Vendor (Bechtle, CANCOM)</t>
  </si>
  <si>
    <t>Lead Strategie:
Der Aufhänger: "Herr [Name], Bechtle und CANCOM teilen sich den 52-Millionen-Euro-Rahmenvertrag der KDN für Apple-Hardware. Dieser läuft im Sommer 2026 aus. Wenn Sie Apple-Partner sind: Haben Sie eine Strategie, um bei der nächsten Runde eines der 7 Lose zu gewinnen?"
Der Hebel:
Spezialisierung: Es gibt viele Apple-Systemhäuser, aber nur wenige trauen sich an öffentliche Ausschreibungen. Da es 7 Lose sind, ist die Chance gut, als regionaler "Apple Premium Reseller" ein Los gegen die großen Generalisten (Bechtle/CANCOM) zu gewinnen, indem man besseren Service/Schulung bietet.
Preis vs. Service: Apple-Hardware hat kaum Marge. Das Geld liegt hier in "Wartung und Services". Wenn Ihr Kunde ein starkes Service-Konzept (MDM, Jamf-Verwaltung) hat, ist das der Türöffner.
Duopol: Die KDN ist abhängig von zwei Riesen. Ein dritter, agiler Spieler wäre sicher willkommen, um den Wettbewerb zu beleben.</t>
  </si>
  <si>
    <t>679228-2022</t>
  </si>
  <si>
    <t>Bechtle GmbH</t>
  </si>
  <si>
    <t>Lead Strategie:
Der Aufhänger: "Herr [Name], Bechtle liefert aktuell die Hardware für über 30 Hochschulen in Norddeutschland (51 Mio. € Volumen). Ende 2026 läuft dieser riesige Konsortialvertrag aus. Damals gab es nur einen Bieter. Sehen Sie die Chance, hier als Alternative aufzutreten?"
Der Hebel:
Wettbewerb fehlt: Dass bei 50 Mio. € Volumen nur ein Angebot einging, ist extrem ungewöhnlich. Vielleicht waren die Kriterien zu hart? Wenn Ihr Kunde versteht, warum andere nicht geboten haben, kann er sich jetzt vorbereiten (z.B. Logistik-Partner suchen), um 2026 der zweite Bieter zu sein.
Surface-Spezialisierung: Los 2 (4,2 Mio. €) war explizit für "Microsoft Surface". Ein spezialisierter Microsoft-Partner kann gezielt dieses Los angreifen, ohne die riesigen Mengen an Standard-PCs (Los 1) liefern zu müssen.
Logistik: Die Lieferung geht an 30 Standorte in 6 Bundesländern. Wer hier ein intelligentes Logistik-Konzept ("Rollout bis an den Schreibtisch") bietet, gewinnt gegen den reinen "Box-Mover".</t>
  </si>
  <si>
    <t>88013-2022</t>
  </si>
  <si>
    <t>Controlware GmbH (Alle Lose / Monopol)</t>
  </si>
  <si>
    <t>Lead Strategie:
Der Aufhänger: "Herr [Name], die HZD Hessen hat ihren 46-Millionen-Euro Netzwerk-Vertrag (Cisco/Alcatel) aktuell komplett bei Controlware liegen. Der Vertrag läuft im Januar 2026 aus. Das Schockierende: Bei der letzten Vergabe gab es nur einen einzigen Bieter. Wollen Sie zulassen, dass Controlware den Auftrag wieder konkurrenzlos abräumt?"
Der Hebel:
Die "1-Bieter-Anomalie": Dass sich auf 30 Mio. € Cisco-Volumen (Los 2) nur einer bewirbt, ist im Markt extrem selten. Dein Kunde muss prüfen: Waren die Kriterien (Zertifizierungen) zu hoch? Wenn er die nötigen Partner-Status hat, ist er der einzige nötige Wettbewerb, den die HZD sich wünscht, um Preise zu drücken.
Klumpenrisiko auflösen: Controlware liefert alles – vom Loadbalancer (Radware) bis zum Switch (Alcatel). Strategisch wäre es für die HZD klug, zumindest die Hersteller-Lose zu trennen. Ein Alcatel-Spezialist kann gezielt Los 1 angreifen.
Zeitdruck: Der Vertrag endet im Januar 2026 (48 Monate Laufzeit). Die Ausschreibung ist entweder jetzt gerade in der Mache oder kommt in wenigen Wochen. Hier muss man sofort aktiv werden ("Fire Drill").</t>
  </si>
  <si>
    <t>Bieter</t>
  </si>
  <si>
    <t>3-4</t>
  </si>
  <si>
    <t>1-3</t>
  </si>
  <si>
    <t>6-8</t>
  </si>
  <si>
    <t>4-11</t>
  </si>
  <si>
    <t>359349-2022</t>
  </si>
  <si>
    <t>Split-Vendor (IBM Deutschland, EntServ)</t>
  </si>
  <si>
    <t>Lead Strategie:
Der Aufhänger: "Herr [Name], das DPMA in München vergibt die Entwicklung seiner Kernsysteme (Patente/Marken) neu. Der 46-Millionen-Euro-Vertrag läuft im Sommer 2026 aus. Das Unglaubliche: IBM hat die wichtigsten Lose damals ohne einen einzigen Konkurrenten gewonnen. Wollen Sie das Feld wieder kampflos überlassen?"
Der Hebel:
Monopol brechen: Dass bei 18 Mio. € Volumen (Los 1) niemand außer IBM bietet, ist ein Armutszeugnis für den Wettbewerb. Das DPMA wird händeringend nach Alternativen suchen, um nicht in die Preisfalle zu tappen.
Legacy vs. Modernisierung: Es geht um "Fachverfahren" (DPMApat, DPMAmarken). Das klingt nach alter, schwerer Software. Wer hier mit "Modernisierung", "Cloud-Migration" oder "Agilität" kommt, hat gute Karten gegen den Dino IBM.
Spezialisierung: Los 3 (Design-System, 14 Mio. €) ist ein eigenständiger Block. Ein spezialisierter Software-Dienstleister kann sich gezielt darauf bewerben.</t>
  </si>
  <si>
    <t>1-2</t>
  </si>
  <si>
    <t>63329-2022</t>
  </si>
  <si>
    <t>BearingPoint GmbH</t>
  </si>
  <si>
    <t>Lead Strategie:
Der Aufhänger: "Herr [Name], das BMI schreibt im Frühjahr 2026 den 45-Millionen-Euro-Vertrag für OZG-Konzeption und Design neu aus. Aktuell hält BearingPoint das Mandat. Da es bei der letzten Vergabe eine 'Zuschlagslimitierung' gab, um Monopole zu verhindern, ist das Feld für neue Player offen."
Der Hebel:
Konzept vor Code: Hier wird nicht primär Programmierung gesucht, sondern "Konzeption und Design". Das ist die perfekte Nische für spezialisierte Digital-Agenturen oder Beratungen, die UX/UI im Public Sector verstehen und nicht gegen reine IT-Dienstleister antreten wollen.
Hoher Wettbewerb, aber riesiges Volumen: 7 Bieter ist moderat für diese Summe.
OZG 2.0: Das OZG geht in die nächste Runde ("OZG 2.0"). Die Anforderungen ändern sich von "schnell online bringen" zu "Nutzerfreundlichkeit &amp; Standardisierung". Wer hier neue Impulse (UX-Testing, Barrierefreiheit) mitbringt, kann BearingPoint alt aussehen lassen.</t>
  </si>
  <si>
    <t>Lead Strategie:
Der Aufhänger: "Herr [Name], Bechtle managt aktuell die komplette IT-Hardware (Miete &amp; Service) für den MDR in Leipzig. Volumen: 45 Mio. €. Der Vertrag läuft zwar noch bis Ende 2027, aber da es ein Mietmodell ist, beginnt die Planung für den Wechsel oft 18 Monate früher. Wollen Sie sich jetzt schon als Challenger positionieren?"
Der Hebel:
Wettbewerbsarmut: Nur 2 Bieter bei 45 Mio. €. Das ist extrem wenig für Standard-Hardware. Ein dritter Anbieter mit einem guten Leasing/Miet-Konzept (Device-as-a-Service) hat exzellente Chancen.
Nachhaltigkeit: In der Ausschreibung war "Nachhaltigkeit" ein Bewertungskriterium (20%). Wer hier mit "Green IT" oder Refurbished-Konzepten punkten kann, hat einen Vorteil gegen den Standard-Versender Bechtle.
Regionale Nähe: Der MDR sitzt in Leipzig, Halle, Dresden. Ein lokaler Dienstleister aus Mitteldeutschland kann mit schnelleren Reaktionszeiten argumentieren als ein zentral gesteuerter Konzern.</t>
  </si>
  <si>
    <t>730057-2022</t>
  </si>
  <si>
    <t>601620-2022</t>
  </si>
  <si>
    <t>Split-Vendor (SVA dominant, PROFI Engineering)</t>
  </si>
  <si>
    <t>Lead Strategie:
Der Aufhänger: "Herr [Name], Ende 2026 läuft der 45-Millionen-Euro Storage-Vertrag der HZD Hessen aus. SVA hat aktuell eine fast dominante Stellung (3 von 4 Losen). Wollen Sie sich bei der nächsten Runde als Alternative für Block-, File- oder Archiv-Storage positionieren?"
Der Hebel:
Technologie-Wechsel: Im Text steht explizit, dass man von "Enterprise" auf "Midrange" umsteigen will (Flash, Tiering). Das ist die Chance für Anbieter von modernen All-Flash-Systemen (Pure Storage, NetApp), die alten EMC/IBM-Burgen anzugreifen.
SVA-Dominanz: SVA ist stark, aber für den Kunden (HZD) ist es riskant, fast alles bei einem Partner zu haben. PROFI Engineering hat gezeigt, dass man SVA schlagen kann (Los 1).
Wettbewerb: Nur 2-3 Bieter. Das ist wenig. Wer die hohen HZD-Zertifizierungen (Sicherheitsüberprüfung) mitbringt, hat eine mathematisch hohe Gewinnchance.</t>
  </si>
  <si>
    <t>12145-2022</t>
  </si>
  <si>
    <t>RV Private Cloud-Infrastruktur (OpenStack &amp; Ceph)</t>
  </si>
  <si>
    <t>B1 Systems GmbH</t>
  </si>
  <si>
    <t>Lead Strategie:
Der Aufhänger: "Herr [Name], das Thüringer Landesrechenzentrum betreibt seine Private Cloud (40 Mio. € Volumen) auf OpenStack-Basis. Der Vertrag mit B1 Systems läuft Ende 2025 aus. Sind Sie bereit, bei der nächsten Ausschreibung mit Ihrer Open-Source-Expertise anzugreifen?"
Der Hebel:
Technologie-Nische: OpenStack &amp; Ceph sind komplexe Technologien. Hier gewinnt nicht der billigste "Kistenschieber", sondern der mit den besten Linux-Admins. Wenn Ihr Kunde Open-Source-Experten hat, ist das sein Spielfeld.
Souveränität: Thüringen setzt bewusst auf Open Source statt auf Microsoft/AWS. Das Argument "Digitale Souveränität" zieht hier extrem gut.
KMU-Chance: Der Gewinner ist ein KMU (B1 Systems). Das zeigt: Man braucht keinen Konzern-Namen, um hier zu gewinnen.</t>
  </si>
  <si>
    <t>668892-2022</t>
  </si>
  <si>
    <t>Lead Strategie:
Der Aufhänger: "Herr [Name], Deloitte hat nicht nur das ITZBund, sondern auch die restliche Bundesverwaltung (39 Mio. €) im SAP-HANA-Bereich gewonnen. Auch dieser Vertrag endet Ende 2026. Es gab damals nur 2 Bieter. Wollen Sie dieses Duopol bei der nächsten Runde aufbrechen?"
Der Hebel:
Klumpenrisiko Bund: Dass Deloitte Los 1 (72 Mio.) UND Los 2 (39 Mio.) hält, ist eine enorme Konzentration. Strategisch wäre es für den Bund klug, Los 2 an einen anderen Partner zu geben (Second Source).
Dezentralität: Los 2 betrifft "unmittelbare Bundesverwaltung". Das sind viele verschiedene Behörden mit unterschiedlichen Kulturen. Ein flexiblerer Dienstleister passt hier oft besser als der riesige Deloitte-Tanker.
Synergien: Wer sich auf Los 2 bewirbt, kann Argumente aus Los 1 (falls man dort Partner ist) nutzen – oder sich bewusst als "Der agilere Herausforderer" positionieren.</t>
  </si>
  <si>
    <t>325056-2022</t>
  </si>
  <si>
    <t>Charité Berlin / Uniklinikum Würzburg</t>
  </si>
  <si>
    <t>Hewlett-Packard GmbH (Direkt)</t>
  </si>
  <si>
    <t>Lead Strategie:
Der Aufhänger: "Herr [Name], die Charité Berlin hat ihren 28-Mio-Euro Server-Vertrag direkt an den Hersteller HPE vergeben – ohne Wettbewerb (nur 1 Angebot). Der Vertrag läuft im Frühjahr 2026 aus. Wollen Sie als Systemhaus dazwischengrätschen und den 'Direktvertrieb' aufbrechen?"
Der Hebel:
Partner vs. Hersteller: Kliniken kaufen oft lieber bei Systemhäusern, die "alles aus einer Hand" (inkl. Service vor Ort) bieten, als beim anonymen US-Konzern. Wenn Ihr Kunde HPE-Platinum-Partner ist, kann er den gleichen Preis + besseren Service bieten.
Vendor Lock-in: Die Ausschreibung war extrem auf HPE zugeschnitten. Strategisch muss die Charité für 2026 offener ausschreiben, um Preise zu drücken. Das ist die Chance für Dell/Lenovo-Partner.
Kritische Infrastruktur: In Krankenhäusern darf die IT nicht ausfallen. Ein lokaler Partner in Berlin (24/7 Notdienst) hat ein starkes Argument gegen die Hotline in Böblingen.</t>
  </si>
  <si>
    <t>670739-2022</t>
  </si>
  <si>
    <t>Lead Strategie:
Der Aufhänger: "Herr [Name], Deloitte hat beim Bund den 'Grand Slam' geholt und hält alle drei SAP-HANA-Rahmenverträge (ITZBund, Ministerien, Mittelbare Verwaltung) mit einem Gesamtvolumen von ca. 150 Mio. €. Alle laufen Ende 2026 aus. Planen Sie, dieses Monopol an irgendeiner Stelle anzugreifen?"
Der Hebel:
Die "Kleine Lösung": Los 3 (Mittelbare Verwaltung) ist oft das heterogenste Los (viele kleine Behörden). Deloitte als Großkonzern ist hier oft zu starr und teuer. Ein mittelständischer SAP-Dienstleister kann hier mit Flexibilität und Kundennähe punkten.
Diversifizierungs-Zwang: Dass ein Anbieter alles macht, ist compliance-technisch und strategisch für den Bund ein Albtraum (Abhängigkeit). Die Chance, dass Los 3 bei der nächsten Runde bewusst "weg-diversifiziert" wird, ist hoch.
Partnering: Da es wieder nur 2 Bieter gab, ist die Hürde hoch. Der Hebel ist hier ein Konsortium ("Wir bilden die agile Alternative zu Deloitte").</t>
  </si>
  <si>
    <t xml:space="preserve">Beschaffungsamt des BMI </t>
  </si>
  <si>
    <t>ITDZ Berlin</t>
  </si>
  <si>
    <t>63360-2022</t>
  </si>
  <si>
    <t>Accenture GmbH</t>
  </si>
  <si>
    <t>Lead Strategie:
Der Aufhänger: "Herr [Name], Accenture hält aktuell das 36-Mio-Mandat für OZG-Design in der 'restlichen Bundesverwaltung'. Der Vertrag läuft im Frühjahr 2026 aus. Durch die Zuschlagslimitierung (jeder Dienstleister darf nur ein Los gewinnen) werden die Karten bei der Neuvergabe komplett neu gemischt. Sind Sie positioniert?"
Der Hebel:
Heterogene Kunden: "Restliche Bundesverwaltung" ist ein Sammelbecken für verschiedenste Behörden. Accenture fährt hier oft den "Standard-Ansatz". Ein flexiblerer Dienstleister, der sich auf spezifische Fachverfahren spezialisiert, kann hier punkten.
User Experience (UX): Bei "Konzeption und Design" geht es um Nutzerfreundlichkeit. Das OZG steht oft in der Kritik, zu kompliziert zu sein. Wer mit einem besseren UX-Ansatz ("Bürgerzentriert") in den Pitch geht, hat starke Argumente gegen den Tech-Riesen Accenture.
Marktverteilung: Da BearingPoint (Los 2) und Accenture (Los 3) "gesättigt" sind, ist das die Chance für einen dritten großen Player oder ein Konsortium.</t>
  </si>
  <si>
    <t>8515-2022</t>
  </si>
  <si>
    <t>Multi-Vendor (Adesso, Atos, Materna, telexiom, 7P u.a.)</t>
  </si>
  <si>
    <t>1-10</t>
  </si>
  <si>
    <t>Lead Strategie:
Der Aufhänger: "Herr [Name], das Rechenzentrum der Finanzverwaltung NRW schreibt Ende 2025 seinen riesigen Dienstleistungs-Rahmenvertrag (36 Mio. €) neu aus. Das Besondere: Es gibt 60 einzelne Lose. Da ist für jeden Spezialisten was dabei. Haben Sie sich schon positioniert?"
Der Hebel:
Die Nische: Mit 60 Losen ist das der granularste Auftrag, den wir bisher gesehen haben. Ein Java-Experte muss nicht gegen einen SAP-Berater antreten. Jeder kann sich sein "Sahnestück" rauspicken.
Wettbewerb schwankt: Manche Lose hatten 10 Bieter, andere nur 1 Bieter (z.B. Los 47, 48 - adlima, RDS Consulting). Wer die Lücken findet (wo sich keiner bewirbt), gewinnt leicht.
Mittelstands-freundlich: Die vielen kleinen Gewinner (telexiom, Microtronix) zeigen, dass die Hürden hier niedriger sind als beim Bund oder bei der EZB.</t>
  </si>
  <si>
    <t>722373-2022</t>
  </si>
  <si>
    <t>Multi-Vendor (adesso, MT AG, Schmidt + Partner u.a.)</t>
  </si>
  <si>
    <t>Lead Strategie:
Der Aufhänger: "Herr [Name], das RZF NRW hat bei seiner letzten Runde über 35 Mio. € massive Probleme gehabt, Bieter zu finden. Viele Lose (Java, QS) wurden mangels Angeboten aufgehoben oder hatten nur einen Bieter. Das ist Ihre Chance, sich für die Neuauflage Ende 2026 als Retter in der Not zu positionieren."
Der Hebel:
"Lücken-Füller": Analysieren Sie genau, welche Lose aufgehoben wurden (z.B. Los 61: Java Testentwicklung). Wenn Ihr Kunde genau das kann, rennt er offene Türen ein.
Wettbewerbsarmut: Dass bei Standard-Themen wie "Java-Entwicklung" oft nur 1 Bieter (z.B. Los 59) da war, ist unglaublich. Hier kann man mit Standard-Preisen gewinnen.</t>
  </si>
  <si>
    <t>HAW Hamburg</t>
  </si>
  <si>
    <t>ProVitako eG</t>
  </si>
  <si>
    <t>Volumen</t>
  </si>
  <si>
    <t>Vergabe</t>
  </si>
  <si>
    <t>Fällig*</t>
  </si>
  <si>
    <t>Multi-Vendor (IBM, d-fine, NTT DATA, Oliver Wyman)</t>
  </si>
  <si>
    <t>297553-2022</t>
  </si>
  <si>
    <t>RV Cisco Netzwerk, Telefonie &amp; Konferenzlösungen</t>
  </si>
  <si>
    <t>Lead Strategie:
Der Aufhänger: "Herr [Name], das RZF NRW hat seinen 32-Mio-Euro Cisco-Vertrag (Netzwerk &amp; Telefonie) beim letzten Mal konkurrenzlos an Computacenter vergeben (nur 1 Angebot). Der Vertrag läuft im Mai 2026 aus. Wenn Sie den Cisco Gold/Platinum Status haben: Wollen Sie der dringend benötigte zweite Bieter sein?"
Der Hebel:
Das Monopol: Ein einzelner Bieter bei diesem Volumen ist für öffentliche Auftraggeber ein Albtraum (Preisdiktat). Die Tür für einen Herausforderer steht sperrangelweit offen.
Unified Communications (UC): Der Vertrag umfasst explizit "Telefonie und Konferenzlösungen". Das ist oft komplexer als reines "Kistenschieben" von Switches. Ein Spezialist für Cisco Webex/UC kann hier punkten, wo reine Hardware-Logistiker scheitern.</t>
  </si>
  <si>
    <t>Polizei NRW</t>
  </si>
  <si>
    <t>IT.NRW</t>
  </si>
  <si>
    <t>ITZD Berlin</t>
  </si>
  <si>
    <t>RZF NRW</t>
  </si>
  <si>
    <t>EZB</t>
  </si>
  <si>
    <t>DPMA</t>
  </si>
  <si>
    <t>BLKA</t>
  </si>
  <si>
    <t>MDR</t>
  </si>
  <si>
    <t>TLRZ Thüringen</t>
  </si>
  <si>
    <t>KDN (Dachverband)</t>
  </si>
  <si>
    <t>526489-2022</t>
  </si>
  <si>
    <t>CANCOM GmbH (Alle Lose)</t>
  </si>
  <si>
    <t>ProVitako eG / KDN (Dachverband)</t>
  </si>
  <si>
    <t>4-6</t>
  </si>
  <si>
    <t>Lead Strategie:
Der Aufhänger: "Herr [Name], CANCOM hat den 31-Mio-Rahmenvertrag für Drucker und Beamer bei ProVitako/KDN im Alleingang gewonnen. Der Vertrag läuft im Sommer 2026 aus. Planen Sie, dieses Monopol bei der nächsten Ausschreibung zu brechen?"
Der Hebel:
Spezialisierung: Drucker (Managed Print Services) und Beamer (AV-Technik) sind zwei sehr unterschiedliche Welten. Dass CANCOM beides macht, ist typisch für Generalisten. Ein spezialisierter AV-Integrator oder MPS-Anbieter kann hier mit tieferem Know-how punkten.
Klumpenrisiko: Da CANCOM auch schon den Netzwerk-Deal (siehe oben) hält, ist die Abhängigkeit der Kommunen von CANCOM extrem hoch. Das ist ein starkes politisches Argument für "Mehr Wettbewerb".</t>
  </si>
  <si>
    <t>Lose</t>
  </si>
  <si>
    <t>RV IT-Consulting &amp; Personalunterstützung</t>
  </si>
  <si>
    <t>RV OZG-Umsetzung Konzeption &amp; Design (Geschäftsbereich BMI)</t>
  </si>
  <si>
    <t>RV OZG-Umsetzung Konzeption &amp; Design (Restliche Verwaltung)</t>
  </si>
  <si>
    <t>RV Aktive Netzwerkkomponenten (Cisco, Alcatel, Radware, WDM)</t>
  </si>
  <si>
    <t>RV WLAN-Infrastruktur &amp; Managed Service (Alle Bezirke)</t>
  </si>
  <si>
    <t xml:space="preserve">RV HPE Server- &amp; Speicherstruktur </t>
  </si>
  <si>
    <t>RV Softwareentwicklung Fachsysteme (Patente, Marken, Design)</t>
  </si>
  <si>
    <t>RV IT-Betrieb &amp; Architektur (MS, Cloud, Nutanix, Test)</t>
  </si>
  <si>
    <t>RV PCs &amp; Monitore (Tower, Mini, CAD, TFT)</t>
  </si>
  <si>
    <t>RV Apple Komponenten &amp; Services</t>
  </si>
  <si>
    <t>RV IT-Dienstleistungen (Java, QS, PM, Betrieb)</t>
  </si>
  <si>
    <t>RV SAP S/4 HANA Migration &amp; Support (Finance, Logistik, Basis)</t>
  </si>
  <si>
    <t>RV Client-Hardware (Dell/HP/Lenovo) &amp; MS Surface</t>
  </si>
  <si>
    <t>RV SAN- &amp; Storage-Infrastruktur (Block, File, Archiv, FC)</t>
  </si>
  <si>
    <t>RV IT-Dienstleistungen (IPv6, Java, QS)</t>
  </si>
  <si>
    <t>RV SAP HANA Beratung &amp; Migration (Bundesverwaltung ohne ITZBund)</t>
  </si>
  <si>
    <t>RV SAP HANA Beratung &amp; Migration (Mittelbare Verwaltung)</t>
  </si>
  <si>
    <t>RV IT-Endgerätemanagement (Miete &amp; Service MDR)</t>
  </si>
  <si>
    <t>RV Drucker &amp; Beamer</t>
  </si>
  <si>
    <t>2026 Q1</t>
  </si>
  <si>
    <t>2026 Q2</t>
  </si>
  <si>
    <t>2025 Q4</t>
  </si>
  <si>
    <t>2026 Q3</t>
  </si>
  <si>
    <t>2026 Q4</t>
  </si>
  <si>
    <t>2027 Q4</t>
  </si>
  <si>
    <t>506477-2022</t>
  </si>
  <si>
    <t>RV Digitale Transformation Polizei 20/20 (Datenhaus, Migration)</t>
  </si>
  <si>
    <t>Accenture GmbH (Konsortium mit Avanade/Trivadis)</t>
  </si>
  <si>
    <t>2027 Q3</t>
  </si>
  <si>
    <t>Lead Strategie:
Der Aufhänger: "Herr [Name], das Programm 'Polizei 20/20' (208 Mio. €) wird aktuell von Accenture als Generalunternehmer gesteuert. Der Vertrag läuft bis Sommer 2027. Das Projekt steht politisch unter massivem Erfolgsdruck. Planen Sie, sich als spezialisierter Partner für Teilbereiche (Datenhaus, Migration) zu positionieren?"
Der Hebel:
"Too big to fail": Ein 200-Mio-Projekt mit einem einzigen Generalunternehmer ist riskant. Oft werden Sub-Gewerke (z.B. Testmanagement, Qualitätssicherung) später separat ausgeschrieben, um Kontrolle zurückzugewinnen.
Technologie: Es geht um "Datenhausökosysteme" und "Harmonisierung". Wer Expertise in Data Governance oder Schnittstellen-Management hat, ist hier Gold wert.
Laufzeit-Optionen: Der Vertrag hat Optionen zur Verlängerung (2x 24 Monate). Aber: Nach 5 Jahren (2027) wird oft Bilanz gezogen. Wenn Accenture nicht liefert, wird neu ausgeschrieben.</t>
  </si>
  <si>
    <t>Beschaffungsamt des BMI</t>
  </si>
  <si>
    <t>Lead Strategie:
Der Aufhänger: "Die EZB in Frankfurt hat vor vier Jahren ihre digitale Transformation ('SupTech') für 227 Mio. € an fünf große Player vergeben. Dieser Rahmenvertrag läuft Anfang 2026 aus. Sind Sie bereit, sich bei der Neuvergabe als spezialisierter Challenger für AI oder Prototyping zu positionieren?"
Der Hebel:
Multi-Vendor-Strategie: Die EZB hat bewusst fünf verschiedene Dienstleister für Los 1 ausgewählt. Das zeigt, dass sie nicht alles auf eine Karte setzen wollen. Ein neuer Anbieter muss nicht "alle verdrängen", sondern nur "einer von vielen" werden.
Themen-Fokus: Es geht stark um Emerging Technologies (AI, Machine Learning, Robotic Process Automation). Wenn dein Kunde hier spitzere, innovativere Lösungen hat als die großen Generalisten (IBM, Oliver Wyman), ist das der Einstieg.
Hohes Volumen: Mit fast einer Viertelmilliarde Euro ist das einer der größten Töpfe im Finanzsektor. Selbst ein kleiner Anteil am Rahmenvertrag sichert den Umsatz über Jahr</t>
  </si>
  <si>
    <t>527368-2022</t>
  </si>
  <si>
    <t>Digitale Förderplattform des Bundes (Entwicklung &amp; Betrieb)</t>
  </si>
  <si>
    <t>BMWK</t>
  </si>
  <si>
    <t>Lead Strategie:
Der Aufhänger: "Herr [Name], Accenture baut aktuell für 28 Mio. € die zentrale Förderplattform des Bundes (BMWK). Der Vertrag läuft langfristig, aber oft werden nach der ersten Phase (5 Jahre) Teilgewerke neu vergeben oder die Verlängerungsoptionen geprüft. Positionieren Sie sich jetzt als agiler Spezialist für die Weiterentwicklung?"
Der Hebel:
Komplexität: Eine Plattform für alle Förderprogramme ist ein Monster-Projekt. Accenture ist gut im Starten, aber im Dauerbetrieb oft teuer. Ein spezialisierter Software-Dienstleister (z.B. für Web-Portale) kann hier oft effizienter arbeiten.
Nischen-Einstieg: Durch die neuen CPV-Codes sehen wir: Es geht um "Plattformverbindung" (Schnittstellen). Wer Experte für API-Management oder OZG-Anbindung ist, kann hier andocken, ohne Accenture komplett ersetzen zu müssen.</t>
  </si>
  <si>
    <t>post@senbjf.berlin.de</t>
  </si>
  <si>
    <t>geschaeftsstelle@provitako.de</t>
  </si>
  <si>
    <t>vergabestelle@hzd.hessen.de</t>
  </si>
  <si>
    <t>ZIB@bescha.bund.de</t>
  </si>
  <si>
    <t>ausschreibungen@itdz-berlin.de</t>
  </si>
  <si>
    <t>blka.sg124.team1@polizei.bayern.de</t>
  </si>
  <si>
    <t>vergabestelle@dpma.de</t>
  </si>
  <si>
    <t>zib@bescha.bund.de</t>
  </si>
  <si>
    <t>TEM@zdf.de</t>
  </si>
  <si>
    <t>vergabe@tlrz.thueringen.de</t>
  </si>
  <si>
    <t>Vergabe-5011@fv.nrw.de</t>
  </si>
  <si>
    <t>ZIB21.25@bescha.bund.de</t>
  </si>
  <si>
    <t>572752-2022</t>
  </si>
  <si>
    <t>RV Personaldienstleistungen / AÜG (6 Lose: IT, PM, Kaufmännisch)</t>
  </si>
  <si>
    <t>Multi-Vendor (CANCOM, Manpower, Hays, Randstad u.a.)</t>
  </si>
  <si>
    <t>6-14</t>
  </si>
  <si>
    <t>341179-2022</t>
  </si>
  <si>
    <t>RV IT-Dienstleistungen (42 Lose: Java, QS, PM)</t>
  </si>
  <si>
    <t>Multi-Vendor (adesso, MT AG, Microtronix u.a.)</t>
  </si>
  <si>
    <t>1-4</t>
  </si>
  <si>
    <t>2-10</t>
  </si>
  <si>
    <t>2-3</t>
  </si>
  <si>
    <t>273902-2022</t>
  </si>
  <si>
    <t>RV VMware Produkte &amp; Lizenzen (vSphere, vSAN, Kubernetes)</t>
  </si>
  <si>
    <t>SVA System Vertrieb Alexander GmbH</t>
  </si>
  <si>
    <t>667553-2022</t>
  </si>
  <si>
    <t>RV Software-Paketierung (MECM / SCCM)</t>
  </si>
  <si>
    <t>Split-Vendor (Trans4mation, Swiss IT, SINC)</t>
  </si>
  <si>
    <t>12969-2022</t>
  </si>
  <si>
    <t>RV Technische Beratung Digitalfunk &amp; Info-Sicherheit (2 Lose)</t>
  </si>
  <si>
    <t>IABG mbH (Alle Lose)</t>
  </si>
  <si>
    <t>693535-2022</t>
  </si>
  <si>
    <t>Freistaat Bayern (Uni Würzburg)</t>
  </si>
  <si>
    <t>RV Apple Hardware (iPhones &amp; Education für Unis Bayern)</t>
  </si>
  <si>
    <t>464240-2022</t>
  </si>
  <si>
    <t>RV Unified Communications (Cisco VoIP/Video)</t>
  </si>
  <si>
    <t>469482-2022</t>
  </si>
  <si>
    <t>RV Cloud-Video-Collaboration (Sicher &amp; DSGVO-konform)</t>
  </si>
  <si>
    <t>T-Systems International GmbH</t>
  </si>
  <si>
    <t>114908-2022</t>
  </si>
  <si>
    <t>RV HashiCorp Vault Lizenzen &amp; Services (Security)</t>
  </si>
  <si>
    <t>269425-2022</t>
  </si>
  <si>
    <t>Bayerisches Landesamt für Steuern</t>
  </si>
  <si>
    <t>RV Rack-Server (Standard &amp; Advanced)</t>
  </si>
  <si>
    <t>Deutsche Telekom Individual Solutions &amp; Products GmbH</t>
  </si>
  <si>
    <t>690051-2022</t>
  </si>
  <si>
    <t>Marktstammdatenregister (Betrieb, Hosting &amp; Weiterentwicklung)</t>
  </si>
  <si>
    <t>Regiocom SE</t>
  </si>
  <si>
    <t>129894-2022</t>
  </si>
  <si>
    <t>Die Autobahn GmbH des Bundes</t>
  </si>
  <si>
    <t>RV IT-Architektur &amp; Betrieb (11 Lose: M365, Citrix, Cisco, Security)</t>
  </si>
  <si>
    <t>Multi-Vendor (Bechtle, Computacenter, SVA, Atos u.a.)</t>
  </si>
  <si>
    <t>1-7</t>
  </si>
  <si>
    <t>184416-2022</t>
  </si>
  <si>
    <t>RV Telearbeit / VPN &amp; Security (3 Lose: NCP, Zertifikate, RSA Token)</t>
  </si>
  <si>
    <t>Split-Vendor (Telekom Security dominant, NTT)</t>
  </si>
  <si>
    <t>174276-2022</t>
  </si>
  <si>
    <t>RV Dokumentenmanagement-System (E-Akte / DMS 4.0)</t>
  </si>
  <si>
    <t>Fabasoft Deutschland GmbH</t>
  </si>
  <si>
    <t>237317-2022</t>
  </si>
  <si>
    <t>RV Anwendungsentwicklung Java / .NET (4 Lose)</t>
  </si>
  <si>
    <t>Split-Vendor (SINC GmbH dominant, CGI)</t>
  </si>
  <si>
    <t>10-14</t>
  </si>
  <si>
    <t>633055-2022</t>
  </si>
  <si>
    <t>RV IT-Standardausstattung (Notebooks, Tablets, Monitore weltweit)</t>
  </si>
  <si>
    <t>Arktis IT solutions GmbH</t>
  </si>
  <si>
    <t>418715-2022</t>
  </si>
  <si>
    <t>RV Software-Anforderungsmanagement &amp; Systemanalyse (Los 2: Restliche Verwaltung)</t>
  </si>
  <si>
    <t>msg systems ag</t>
  </si>
  <si>
    <t>660886-2022</t>
  </si>
  <si>
    <t>Digital Euro Consultancy (Design &amp; Realisation)</t>
  </si>
  <si>
    <t>Multi-Vendor (Accenture, BearingPoint, Deloitte, Oliver Wyman, Roland Berger)</t>
  </si>
  <si>
    <t>40547-2022</t>
  </si>
  <si>
    <t>LZPD NRW (Polizei NRW)</t>
  </si>
  <si>
    <t>RV Hochverfügbarkeitssysteme (HPE Server/Storage)</t>
  </si>
  <si>
    <t>Hewlett-Packard GmbH (Direktvergabe)</t>
  </si>
  <si>
    <t>552584-2022</t>
  </si>
  <si>
    <t>RV Clients, Notebooks &amp; Tablets (3 Lose: Win, iOS, Monitore)</t>
  </si>
  <si>
    <t>Split-Vendor (Bechtle direct, REDNET)</t>
  </si>
  <si>
    <t>2-4</t>
  </si>
  <si>
    <t>569763-2022</t>
  </si>
  <si>
    <t>RV IT-Verfahrensbetrieb &amp; Problemmanagement (2 Lose: HMdIS/HMSI)</t>
  </si>
  <si>
    <t>SINC GmbH (Alle Lose)</t>
  </si>
  <si>
    <t>667972-2022</t>
  </si>
  <si>
    <t>RV Betrieb &amp; Hosting BW-Informationssystem (SAP/VMware)</t>
  </si>
  <si>
    <t>DATAGROUP Business Solutions GmbH</t>
  </si>
  <si>
    <t>656949-2022</t>
  </si>
  <si>
    <t>DGUV (Unfallversicherung)</t>
  </si>
  <si>
    <t>RV Anwendungsentwicklung &amp; Modernisierung (Oracle zu Java)</t>
  </si>
  <si>
    <t>Capgemini Deutschland GmbH</t>
  </si>
  <si>
    <t>395103-2022</t>
  </si>
  <si>
    <t>RV OZG-Umsetzung (Los 3: Geschäftsbereich BMI)</t>
  </si>
  <si>
    <t>612158-2022</t>
  </si>
  <si>
    <t>RV IT-Delivery Management (Personalgestellung)</t>
  </si>
  <si>
    <t>Hays AG</t>
  </si>
  <si>
    <t>67023-2022</t>
  </si>
  <si>
    <t>RV IT-Personalüberlassung / AÜG (30 Lose)</t>
  </si>
  <si>
    <t>Multi-Vendor (SThree, Hofmann, RS Group u.a.)</t>
  </si>
  <si>
    <t>504775-2022</t>
  </si>
  <si>
    <t>RV Data Center LAN (Arista Networks Hardware)</t>
  </si>
  <si>
    <t>Controlware GmbH</t>
  </si>
  <si>
    <t>1-6</t>
  </si>
  <si>
    <t>339313-2022</t>
  </si>
  <si>
    <t>Friedrich-Schiller-Universität Jena</t>
  </si>
  <si>
    <t>Einführung ERP-System (Finanzen/Personal/Beschaffung)</t>
  </si>
  <si>
    <t>IBM Deutschland GmbH</t>
  </si>
  <si>
    <t>649346-2022</t>
  </si>
  <si>
    <t>RV Berliner Landesnetz (Extreme Networks Hardware &amp; Service)</t>
  </si>
  <si>
    <t>ARKTIS IT solutions GmbH</t>
  </si>
  <si>
    <t>684913-2022</t>
  </si>
  <si>
    <t>RV RZ-Betrieb Mainframe-Anwendungen (Hosting &amp; Wartung)</t>
  </si>
  <si>
    <t>Atos Information Technology GmbH</t>
  </si>
  <si>
    <t>127876-2022</t>
  </si>
  <si>
    <t>RV Storage/SAN/Backup (3 Lose) mit Mini-Wettbewerb</t>
  </si>
  <si>
    <t>Multi-Vendor (SVA, Bechtle, netgo, Profi, H&amp;G)</t>
  </si>
  <si>
    <t>13-19</t>
  </si>
  <si>
    <t>186593-2022</t>
  </si>
  <si>
    <t>RV Microsoft Business &amp; Service Agreement (Lizenzen &amp; Support)</t>
  </si>
  <si>
    <t>Crayon Deutschland GmbH</t>
  </si>
  <si>
    <t>298044-2022</t>
  </si>
  <si>
    <t>Freistaat Thüringen (Finanzministerium)</t>
  </si>
  <si>
    <t>RV Microsoft Handelspartner (Volumenlizenzen &amp; Services)</t>
  </si>
  <si>
    <t>Fujitsu Technology Solutions GmbH</t>
  </si>
  <si>
    <t>500944-2022</t>
  </si>
  <si>
    <t>RV Check Point Firewalls (Lieferung &amp; Support)</t>
  </si>
  <si>
    <t>NTT Germany AG &amp; Co. KG (Direktvergabe)</t>
  </si>
  <si>
    <t>BG-Phoenics GmbH</t>
  </si>
  <si>
    <t>271453-2022</t>
  </si>
  <si>
    <t>RV Weiterentwicklung BISAM-EFRE (Fördermittel-Datenbank)</t>
  </si>
  <si>
    <t>Proximity Technology GmbH (Direktvergabe)</t>
  </si>
  <si>
    <t>533199-2022</t>
  </si>
  <si>
    <t>TH Mittelhessen (für 4 Hochschulen)</t>
  </si>
  <si>
    <t>RV HPE Netzwerkkomponenten (LAN/WLAN)</t>
  </si>
  <si>
    <t>OFM Netzwerk &amp; Systemtechnik GmbH</t>
  </si>
  <si>
    <t>687981-2022</t>
  </si>
  <si>
    <t>RV Low-Code-Entwicklungsplattform (Pega Lizenzen &amp; Services)</t>
  </si>
  <si>
    <t>Pegasystems Ltd.</t>
  </si>
  <si>
    <t>136007-2022</t>
  </si>
  <si>
    <t>Stadt Duisburg (Hauptamt)</t>
  </si>
  <si>
    <t>Digitalisierung Hausaktenarchiv (Bauakten Scanning)</t>
  </si>
  <si>
    <t>Rhenus Docs to Data GmbH</t>
  </si>
  <si>
    <t>727828-2022</t>
  </si>
  <si>
    <t>Upgrade Kofax Total Agility (Lizenzen &amp; Migration)</t>
  </si>
  <si>
    <t>softgate gmbh</t>
  </si>
  <si>
    <t>683426-2022</t>
  </si>
  <si>
    <t>Pfalzklinikum AdöR</t>
  </si>
  <si>
    <t>RV Microsoft Handelspartner (Select Plus / BMI Konditionen)</t>
  </si>
  <si>
    <t>Bechtle-Comsoft GmbH</t>
  </si>
  <si>
    <t>553816-2022</t>
  </si>
  <si>
    <t>Online-Kommunikation Bundesregierung (CMS CoreMedia, DAM, Hosting)</t>
  </si>
  <si>
    <t>Split-Vendor (Babiel GmbH, init AG)</t>
  </si>
  <si>
    <t>44456-2022</t>
  </si>
  <si>
    <t>RV Softwareentwicklung Natural / Adabas (Legacy)</t>
  </si>
  <si>
    <t>SAG Deutschland GmbH (Software AG)</t>
  </si>
  <si>
    <t>472085-2022</t>
  </si>
  <si>
    <t>RV SAP-Beratung &amp; Portalentwicklung (Claims Management)</t>
  </si>
  <si>
    <t>Split-Vendor (SAP Deutschland, Hays AG)</t>
  </si>
  <si>
    <t>353817-2022</t>
  </si>
  <si>
    <t>Uni Kassel (für Hessische Hochschulen)</t>
  </si>
  <si>
    <t>RV Cisco Netzwerkkomponenten (Hessische Hochschulen)</t>
  </si>
  <si>
    <t>NTT Germany AG &amp; Co. KG</t>
  </si>
  <si>
    <t>454432-2022</t>
  </si>
  <si>
    <t>ZUG gGmbH (für BMUV)</t>
  </si>
  <si>
    <t>Green AI Hub (KI-Entwicklung &amp; Transfer für Mittelstand)</t>
  </si>
  <si>
    <t>DFKI GmbH</t>
  </si>
  <si>
    <t>BImA</t>
  </si>
  <si>
    <t>BNetzA</t>
  </si>
  <si>
    <t>BPA</t>
  </si>
  <si>
    <t>BVVG</t>
  </si>
  <si>
    <t xml:space="preserve">DLR </t>
  </si>
  <si>
    <t xml:space="preserve">DIKOM Brandenburg </t>
  </si>
  <si>
    <t xml:space="preserve">GIZ </t>
  </si>
  <si>
    <t xml:space="preserve">GKD Recklinghausen </t>
  </si>
  <si>
    <t>MWIDE NRW</t>
  </si>
  <si>
    <t>SVLFG</t>
  </si>
  <si>
    <t>sk@goVisor.eu</t>
  </si>
  <si>
    <t>Kontakt Mail (Vergabe)</t>
  </si>
  <si>
    <t>Decision Maker / Ansprechpartner</t>
  </si>
  <si>
    <t>vergabe@mdr.de</t>
  </si>
  <si>
    <t>iris.argyriadou@ra-argyriadou.de</t>
  </si>
  <si>
    <t>B15.35@bescha.bund.de</t>
  </si>
  <si>
    <t>ausschreibungen@it.nrw.de</t>
  </si>
  <si>
    <t>ausschreibung@bg-phoenics.de</t>
  </si>
  <si>
    <t>procurement@ecb.europa.eu</t>
  </si>
  <si>
    <t>team.lzpdabt2@twobirds.com</t>
  </si>
  <si>
    <t>vergabe@dataport.de</t>
  </si>
  <si>
    <t>ausschreibung@lfst.bayern.de</t>
  </si>
  <si>
    <t>zentrale-Vergabestelle@mwide.nrw.de</t>
  </si>
  <si>
    <t>team.provitako@twobirds.com</t>
  </si>
  <si>
    <t>zentrale-vergabestelle-vol@charite.de</t>
  </si>
  <si>
    <t>vergabestelle@uni-jena.de</t>
  </si>
  <si>
    <t>vergaben-itsc@haw-hamburg.de</t>
  </si>
  <si>
    <t>e-vergabe@uni-kassel.de</t>
  </si>
  <si>
    <t>tdza4.2.Vergabe.lzpd@polizei.nrw.de</t>
  </si>
  <si>
    <t>Team-kdn@twobirds.com</t>
  </si>
  <si>
    <t>vergabestelle@z-u-g.org</t>
  </si>
  <si>
    <t>ausschreibung@svlfg.de</t>
  </si>
  <si>
    <t>TDZA42Vergabe.LZPD@polizei.nrw.de</t>
  </si>
  <si>
    <t>alexander.fink@pd-g.de</t>
  </si>
  <si>
    <t>e-vergabe@verw.thm.de</t>
  </si>
  <si>
    <t>vergabe@dikom-bb.de</t>
  </si>
  <si>
    <t>vergabe@bpa.bund.de</t>
  </si>
  <si>
    <t>Vergaberecht.J@dguv.de</t>
  </si>
  <si>
    <t>KFM@psg.pfalzklinikum.de</t>
  </si>
  <si>
    <t>vergabestelle@bvvg.de</t>
  </si>
  <si>
    <t>verdingung@bundesimmobilien.de</t>
  </si>
  <si>
    <t>vergabe@uni-mainz.de</t>
  </si>
  <si>
    <t>vergabestelle@bwfps.de</t>
  </si>
  <si>
    <t>vergabe@kdn.de</t>
  </si>
  <si>
    <t>vergabestelle@gkd-re.de</t>
  </si>
  <si>
    <t>Referat 119 (Vergabe-5011@fv.nrw.de)</t>
  </si>
  <si>
    <t>Jens Roux (B15.35@bescha.bund.de)</t>
  </si>
  <si>
    <t>J. Flügel (j.fluegel@stadt-duisburg.de)</t>
  </si>
  <si>
    <t>Thomas Kluth (ausschreibung@bg-phoenics.de)</t>
  </si>
  <si>
    <t>Mr. Frank Elis (procurement@ecb.europa.eu)</t>
  </si>
  <si>
    <t>Alexander von Helmersen (ausschreibung@lfst.bayern.de)</t>
  </si>
  <si>
    <t>Frau Funke (Vergabe-5011@fv.nrw.de)</t>
  </si>
  <si>
    <t>Katrin Kühn (vergabestelle@z-u-g.org)</t>
  </si>
  <si>
    <t>Alexander Fink (alexander.fink@pd-g.de)</t>
  </si>
  <si>
    <t>Carolin Klug (carolin.klug@giz.de)</t>
  </si>
  <si>
    <t>Mr Giuseppe Bitti (procurement@ecb.europa.eu)</t>
  </si>
  <si>
    <t>Dirk Eltus (dirk.eltus@dlr.de)</t>
  </si>
  <si>
    <t>⚠️ Externe Kanzlei: Team-kdn@twobirds.com / Dr. Jan Byok</t>
  </si>
  <si>
    <t>Nicht in diesem Paket enthalten.</t>
  </si>
  <si>
    <t>Free</t>
  </si>
  <si>
    <t>PLAN</t>
  </si>
  <si>
    <t>657594-2022</t>
  </si>
  <si>
    <t>BImA (Bundesimmobilien)</t>
  </si>
  <si>
    <t>RV IT-Consulting &amp; Betrieb (Strategie/Support)</t>
  </si>
  <si>
    <t>2025 Q3</t>
  </si>
  <si>
    <t>395124-2022</t>
  </si>
  <si>
    <t>Beschaffungsamt des BMI (für BMVI)</t>
  </si>
  <si>
    <t>RV OZG-Umsetzung (Los 5: Geschäftsbereich BMVI)</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</si>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</sst>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 &quot;€&quot;_-;\-* #,##0\ &quot;€&quot;_-;_-* &quot;-&quot;??\ &quot;€&quot;_-;_-@_-"/>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Segoe UI"/>
      <family val="2"/>
    </font>
    <font>
      <b/>
      <sz val="10"/>
      <color theme="1"/>
      <name val="Segoe UI"/>
      <family val="2"/>
    </font>
    <font>
      <sz val="10"/>
      <color theme="0"/>
      <name val="Segoe UI"/>
      <family val="2"/>
    </font>
    <font>
      <b/>
      <sz val="10"/>
      <color theme="0"/>
      <name val="Segoe UI"/>
      <family val="2"/>
    </font>
    <font>
      <sz val="10"/>
      <color rgb="FF334155"/>
      <name val="Segoe UI"/>
      <family val="2"/>
    </font>
    <font>
      <b/>
      <sz val="10"/>
      <color rgb="FF334155"/>
      <name val="Segoe UI"/>
      <family val="2"/>
    </font>
    <font>
      <sz val="7"/>
      <color rgb="FF334155"/>
      <name val="Segoe UI"/>
      <family val="2"/>
    </font>
    <font>
      <b/>
      <sz val="13.5"/>
      <color theme="1"/>
      <name val="Calibri"/>
      <family val="2"/>
      <scheme val="minor"/>
    </font>
    <font>
      <i/>
      <sz val="11"/>
      <color theme="1"/>
      <name val="Calibri"/>
      <family val="2"/>
      <scheme val="minor"/>
    </font>
    <font>
      <sz val="8"/>
      <name val="Calibri"/>
      <family val="2"/>
      <scheme val="minor"/>
    </font>
    <font>
      <sz val="6"/>
      <color theme="1"/>
      <name val="Segoe UI"/>
      <family val="2"/>
    </font>
    <font>
      <sz val="8"/>
      <color theme="1"/>
      <name val="Segoe UI"/>
      <family val="2"/>
    </font>
    <font>
      <i/>
      <sz val="10"/>
      <color theme="1"/>
      <name val="Segoe UI"/>
      <family val="2"/>
    </font>
  </fonts>
  <fills count="11">
    <fill>
      <patternFill patternType="none"/>
    </fill>
    <fill>
      <patternFill patternType="gray125"/>
    </fill>
    <fill>
      <patternFill patternType="solid">
        <fgColor rgb="FF0F172A"/>
        <bgColor indexed="64"/>
      </patternFill>
    </fill>
    <fill>
      <patternFill patternType="solid">
        <fgColor rgb="FFF1F5F9"/>
        <bgColor indexed="64"/>
      </patternFill>
    </fill>
    <fill>
      <patternFill patternType="solid">
        <fgColor rgb="FFF97316"/>
        <bgColor indexed="64"/>
      </patternFill>
    </fill>
    <fill>
      <patternFill patternType="solid">
        <fgColor rgb="FF3B82F6"/>
        <bgColor indexed="64"/>
      </patternFill>
    </fill>
    <fill>
      <patternFill patternType="solid">
        <fgColor rgb="FF10B981"/>
        <bgColor indexed="64"/>
      </patternFill>
    </fill>
    <fill>
      <patternFill patternType="solid">
        <fgColor rgb="FFFEF9C3"/>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59999389629810485"/>
        <bgColor indexed="64"/>
      </patternFill>
    </fill>
  </fills>
  <borders count="38">
    <border>
      <left/>
      <right/>
      <top/>
      <bottom/>
      <diagonal/>
    </border>
    <border>
      <left/>
      <right/>
      <top style="thin">
        <color rgb="FFE2E8F0"/>
      </top>
      <bottom style="thin">
        <color rgb="FFE2E8F0"/>
      </bottom>
      <diagonal/>
    </border>
    <border>
      <left/>
      <right/>
      <top/>
      <bottom style="thin">
        <color rgb="FFE2E8F0"/>
      </bottom>
      <diagonal/>
    </border>
    <border>
      <left style="thin">
        <color theme="0"/>
      </left>
      <right style="thin">
        <color theme="0"/>
      </right>
      <top style="thin">
        <color rgb="FFE2E8F0"/>
      </top>
      <bottom style="thin">
        <color rgb="FFE2E8F0"/>
      </bottom>
      <diagonal/>
    </border>
    <border>
      <left/>
      <right style="thin">
        <color theme="0"/>
      </right>
      <top style="thin">
        <color rgb="FFE2E8F0"/>
      </top>
      <bottom style="thin">
        <color rgb="FFE2E8F0"/>
      </bottom>
      <diagonal/>
    </border>
    <border>
      <left style="thin">
        <color theme="0"/>
      </left>
      <right style="thin">
        <color theme="0"/>
      </right>
      <top style="thin">
        <color rgb="FFE2E8F0"/>
      </top>
      <bottom style="thin">
        <color theme="0"/>
      </bottom>
      <diagonal/>
    </border>
    <border>
      <left style="thin">
        <color theme="0"/>
      </left>
      <right style="thin">
        <color theme="0"/>
      </right>
      <top/>
      <bottom style="thin">
        <color rgb="FFE2E8F0"/>
      </bottom>
      <diagonal/>
    </border>
    <border>
      <left style="thin">
        <color theme="0"/>
      </left>
      <right style="thin">
        <color theme="0"/>
      </right>
      <top style="thin">
        <color theme="0"/>
      </top>
      <bottom style="thin">
        <color theme="0"/>
      </bottom>
      <diagonal/>
    </border>
    <border>
      <left/>
      <right style="thin">
        <color theme="0"/>
      </right>
      <top style="thin">
        <color rgb="FFE2E8F0"/>
      </top>
      <bottom style="thin">
        <color theme="0"/>
      </bottom>
      <diagonal/>
    </border>
    <border>
      <left style="thin">
        <color theme="0"/>
      </left>
      <right/>
      <top style="thin">
        <color rgb="FFE2E8F0"/>
      </top>
      <bottom style="thin">
        <color rgb="FFE2E8F0"/>
      </bottom>
      <diagonal/>
    </border>
    <border>
      <left style="thin">
        <color theme="0"/>
      </left>
      <right/>
      <top/>
      <bottom/>
      <diagonal/>
    </border>
    <border>
      <left/>
      <right/>
      <top style="thin">
        <color rgb="FFE2E8F0"/>
      </top>
      <bottom/>
      <diagonal/>
    </border>
    <border>
      <left style="thin">
        <color rgb="FFE2E8F0"/>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theme="0"/>
      </left>
      <right style="thin">
        <color theme="0"/>
      </right>
      <top style="thin">
        <color theme="0"/>
      </top>
      <bottom style="thin">
        <color rgb="FFF8FAFC"/>
      </bottom>
      <diagonal/>
    </border>
    <border>
      <left style="thin">
        <color theme="0"/>
      </left>
      <right style="thin">
        <color theme="0"/>
      </right>
      <top style="thin">
        <color rgb="FFF8FAFC"/>
      </top>
      <bottom style="thin">
        <color rgb="FFF8FAFC"/>
      </bottom>
      <diagonal/>
    </border>
    <border>
      <left/>
      <right/>
      <top style="thin">
        <color rgb="FFF8FAFC"/>
      </top>
      <bottom style="thin">
        <color rgb="FFF8FAFC"/>
      </bottom>
      <diagonal/>
    </border>
    <border>
      <left style="thin">
        <color rgb="FFE2E8F0"/>
      </left>
      <right/>
      <top style="thin">
        <color rgb="FFE2E8F0"/>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diagonal/>
    </border>
    <border>
      <left style="thin">
        <color rgb="FFE2E8F0"/>
      </left>
      <right style="thin">
        <color rgb="FFE2E8F0"/>
      </right>
      <top/>
      <bottom/>
      <diagonal/>
    </border>
    <border>
      <left style="thin">
        <color rgb="FFE2E8F0"/>
      </left>
      <right style="thin">
        <color rgb="FFE2E8F0"/>
      </right>
      <top/>
      <bottom style="thin">
        <color rgb="FFE2E8F0"/>
      </bottom>
      <diagonal/>
    </border>
    <border>
      <left style="thin">
        <color rgb="FFE2E8F0"/>
      </left>
      <right/>
      <top/>
      <bottom/>
      <diagonal/>
    </border>
    <border>
      <left style="thin">
        <color rgb="FFE2E8F0"/>
      </left>
      <right/>
      <top/>
      <bottom style="thin">
        <color rgb="FFE2E8F0"/>
      </bottom>
      <diagonal/>
    </border>
    <border>
      <left/>
      <right style="thin">
        <color rgb="FFF8FAFC"/>
      </right>
      <top style="thin">
        <color rgb="FFF8FAFC"/>
      </top>
      <bottom style="thin">
        <color rgb="FFF8FAFC"/>
      </bottom>
      <diagonal/>
    </border>
    <border>
      <left/>
      <right style="thin">
        <color rgb="FFF8FAFC"/>
      </right>
      <top style="thin">
        <color rgb="FFE2E8F0"/>
      </top>
      <bottom style="thin">
        <color rgb="FFE2E8F0"/>
      </bottom>
      <diagonal/>
    </border>
    <border>
      <left/>
      <right style="thin">
        <color rgb="FFF8FAFC"/>
      </right>
      <top/>
      <bottom style="thin">
        <color rgb="FFE2E8F0"/>
      </bottom>
      <diagonal/>
    </border>
    <border>
      <left/>
      <right style="thin">
        <color rgb="FFF8FAFC"/>
      </right>
      <top/>
      <bottom/>
      <diagonal/>
    </border>
    <border>
      <left/>
      <right style="thin">
        <color rgb="FFF8FAFC"/>
      </right>
      <top style="thin">
        <color rgb="FFE2E8F0"/>
      </top>
      <bottom style="thin">
        <color theme="0"/>
      </bottom>
      <diagonal/>
    </border>
    <border>
      <left/>
      <right style="thin">
        <color rgb="FFF8FAFC"/>
      </right>
      <top style="thin">
        <color theme="0"/>
      </top>
      <bottom style="thin">
        <color theme="0"/>
      </bottom>
      <diagonal/>
    </border>
    <border>
      <left/>
      <right style="thin">
        <color rgb="FFF8FAFC"/>
      </right>
      <top/>
      <bottom style="thin">
        <color theme="0"/>
      </bottom>
      <diagonal/>
    </border>
    <border>
      <left/>
      <right style="thin">
        <color rgb="FFF8FAFC"/>
      </right>
      <top style="thin">
        <color theme="0"/>
      </top>
      <bottom style="thin">
        <color rgb="FFF8FAFC"/>
      </bottom>
      <diagonal/>
    </border>
    <border>
      <left/>
      <right style="thin">
        <color rgb="FFF8FAFC"/>
      </right>
      <top/>
      <bottom style="thin">
        <color rgb="FFF8FAFC"/>
      </bottom>
      <diagonal/>
    </border>
    <border>
      <left/>
      <right style="thin">
        <color rgb="FFF8FAFC"/>
      </right>
      <top style="thin">
        <color theme="0"/>
      </top>
      <bottom/>
      <diagonal/>
    </border>
    <border>
      <left/>
      <right style="thin">
        <color rgb="FFF8FAFC"/>
      </right>
      <top style="thin">
        <color rgb="FFF8FAFC"/>
      </top>
      <bottom style="thin">
        <color theme="0"/>
      </bottom>
      <diagonal/>
    </border>
    <border>
      <left/>
      <right style="thin">
        <color rgb="FFF8FAFC"/>
      </right>
      <top style="thin">
        <color rgb="FFF8FAFC"/>
      </top>
      <bottom/>
      <diagonal/>
    </border>
    <border>
      <left/>
      <right style="thin">
        <color rgb="FFF8FAFC"/>
      </right>
      <top style="thin">
        <color rgb="FFE2E8F0"/>
      </top>
      <bottom style="thin">
        <color rgb="FFF8FAFC"/>
      </bottom>
      <diagonal/>
    </border>
    <border>
      <left style="thin">
        <color rgb="FFF8FAFC"/>
      </left>
      <right/>
      <top style="thin">
        <color rgb="FFE2E8F0"/>
      </top>
      <bottom style="thin">
        <color rgb="FFE2E8F0"/>
      </bottom>
      <diagonal/>
    </border>
  </borders>
  <cellStyleXfs count="2">
    <xf numFmtId="0" fontId="0" fillId="0" borderId="0"/>
    <xf numFmtId="44" fontId="2" fillId="0" borderId="0" applyFont="0" applyFill="0" applyBorder="0" applyAlignment="0" applyProtection="0"/>
  </cellStyleXfs>
  <cellXfs count="127">
    <xf numFmtId="0" fontId="0" fillId="0" borderId="0" xfId="0"/>
    <xf numFmtId="0" fontId="0" fillId="0" borderId="0" xfId="0" applyAlignment="1">
      <alignment wrapText="1"/>
    </xf>
    <xf numFmtId="0" fontId="3" fillId="0" borderId="0" xfId="0" applyFont="1"/>
    <xf numFmtId="0" fontId="3" fillId="0" borderId="0" xfId="0" applyFont="1" applyAlignment="1">
      <alignment horizontal="center"/>
    </xf>
    <xf numFmtId="0" fontId="7" fillId="3" borderId="3" xfId="0" applyFont="1" applyFill="1" applyBorder="1" applyAlignment="1">
      <alignment horizontal="center"/>
    </xf>
    <xf numFmtId="0" fontId="3" fillId="0" borderId="1" xfId="0" applyFont="1" applyBorder="1" applyAlignment="1">
      <alignment vertical="center"/>
    </xf>
    <xf numFmtId="0" fontId="3" fillId="0" borderId="2" xfId="0" applyFont="1" applyBorder="1" applyAlignment="1">
      <alignment vertical="center"/>
    </xf>
    <xf numFmtId="164" fontId="3" fillId="0" borderId="2" xfId="1" applyNumberFormat="1" applyFont="1" applyFill="1" applyBorder="1" applyAlignment="1">
      <alignment horizontal="right" vertical="center" wrapText="1"/>
    </xf>
    <xf numFmtId="14" fontId="3" fillId="0" borderId="2" xfId="0" applyNumberFormat="1" applyFont="1" applyBorder="1" applyAlignment="1">
      <alignment vertical="center" wrapText="1"/>
    </xf>
    <xf numFmtId="0" fontId="3" fillId="0" borderId="2" xfId="0" applyFont="1" applyBorder="1" applyAlignment="1">
      <alignment horizontal="right" vertical="center"/>
    </xf>
    <xf numFmtId="0" fontId="3" fillId="0" borderId="1" xfId="0" applyFont="1" applyBorder="1" applyAlignment="1">
      <alignment horizontal="right" vertical="center"/>
    </xf>
    <xf numFmtId="0" fontId="5" fillId="0" borderId="3" xfId="0" applyFont="1" applyBorder="1" applyAlignment="1">
      <alignment horizontal="center" vertical="center"/>
    </xf>
    <xf numFmtId="0" fontId="5" fillId="4" borderId="4" xfId="0" applyFont="1" applyFill="1" applyBorder="1" applyAlignment="1">
      <alignment horizontal="center" vertical="center"/>
    </xf>
    <xf numFmtId="0" fontId="3" fillId="0" borderId="4" xfId="0" applyFont="1" applyBorder="1" applyAlignment="1">
      <alignment vertical="center"/>
    </xf>
    <xf numFmtId="0" fontId="7" fillId="0" borderId="0" xfId="0" applyFont="1" applyAlignment="1">
      <alignment horizontal="center" vertical="center"/>
    </xf>
    <xf numFmtId="0" fontId="7" fillId="3" borderId="5" xfId="0" applyFont="1" applyFill="1" applyBorder="1" applyAlignment="1">
      <alignment horizontal="center" vertical="center"/>
    </xf>
    <xf numFmtId="0" fontId="7" fillId="3" borderId="7" xfId="0" applyFont="1" applyFill="1" applyBorder="1" applyAlignment="1">
      <alignment horizontal="center" vertical="center"/>
    </xf>
    <xf numFmtId="0" fontId="5" fillId="0" borderId="6" xfId="0" applyFont="1" applyBorder="1" applyAlignment="1">
      <alignment horizontal="center" vertical="center"/>
    </xf>
    <xf numFmtId="14" fontId="3" fillId="0" borderId="1" xfId="0" applyNumberFormat="1" applyFont="1" applyBorder="1" applyAlignment="1">
      <alignment vertical="center"/>
    </xf>
    <xf numFmtId="0" fontId="10" fillId="0" borderId="0" xfId="0" applyFont="1" applyAlignment="1">
      <alignment vertical="center" wrapText="1"/>
    </xf>
    <xf numFmtId="0" fontId="1" fillId="0" borderId="0" xfId="0" applyFont="1" applyAlignment="1">
      <alignment wrapText="1"/>
    </xf>
    <xf numFmtId="0" fontId="0" fillId="0" borderId="0" xfId="0" applyAlignment="1">
      <alignment horizontal="left" vertical="center" wrapText="1" indent="1"/>
    </xf>
    <xf numFmtId="0" fontId="11" fillId="0" borderId="0" xfId="0" applyFont="1" applyAlignment="1">
      <alignment horizontal="left" vertical="center" wrapText="1" indent="1"/>
    </xf>
    <xf numFmtId="0" fontId="1" fillId="0" borderId="0" xfId="0" applyFont="1" applyAlignment="1">
      <alignment horizontal="left" vertical="center" wrapText="1" indent="1"/>
    </xf>
    <xf numFmtId="0" fontId="5" fillId="5" borderId="0" xfId="0" applyFont="1" applyFill="1" applyAlignment="1">
      <alignment horizontal="center"/>
    </xf>
    <xf numFmtId="0" fontId="5" fillId="6" borderId="0" xfId="0" applyFont="1" applyFill="1" applyAlignment="1">
      <alignment vertical="center"/>
    </xf>
    <xf numFmtId="0" fontId="4" fillId="0" borderId="0" xfId="0" applyFont="1" applyAlignment="1">
      <alignment horizontal="center"/>
    </xf>
    <xf numFmtId="0" fontId="3" fillId="0" borderId="1" xfId="0" applyFont="1" applyBorder="1" applyAlignment="1">
      <alignment horizontal="left" vertical="center"/>
    </xf>
    <xf numFmtId="0" fontId="5" fillId="5" borderId="4" xfId="0" applyFont="1" applyFill="1" applyBorder="1" applyAlignment="1">
      <alignment horizontal="center"/>
    </xf>
    <xf numFmtId="0" fontId="3" fillId="0" borderId="1" xfId="0" applyFont="1" applyBorder="1"/>
    <xf numFmtId="0" fontId="3" fillId="0" borderId="5" xfId="0" applyFont="1" applyBorder="1" applyAlignment="1">
      <alignment vertical="center"/>
    </xf>
    <xf numFmtId="14" fontId="3" fillId="0" borderId="2" xfId="0" applyNumberFormat="1" applyFont="1" applyBorder="1" applyAlignment="1">
      <alignment vertical="center"/>
    </xf>
    <xf numFmtId="14" fontId="3" fillId="0" borderId="1" xfId="0" applyNumberFormat="1" applyFont="1" applyBorder="1" applyAlignment="1">
      <alignment vertical="center" wrapText="1"/>
    </xf>
    <xf numFmtId="0" fontId="3" fillId="0" borderId="1" xfId="0" applyFont="1" applyBorder="1" applyAlignment="1">
      <alignment horizontal="center" vertical="center"/>
    </xf>
    <xf numFmtId="0" fontId="3" fillId="0" borderId="9" xfId="0" applyFont="1" applyBorder="1"/>
    <xf numFmtId="0" fontId="3" fillId="0" borderId="12" xfId="0" applyFont="1" applyBorder="1" applyAlignment="1">
      <alignment vertical="center"/>
    </xf>
    <xf numFmtId="0" fontId="7" fillId="3" borderId="14" xfId="0" applyFont="1" applyFill="1" applyBorder="1" applyAlignment="1">
      <alignment horizontal="center" vertical="center"/>
    </xf>
    <xf numFmtId="0" fontId="7" fillId="3" borderId="15" xfId="0" applyFont="1" applyFill="1" applyBorder="1" applyAlignment="1">
      <alignment horizont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7" fillId="3" borderId="16"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right"/>
    </xf>
    <xf numFmtId="0" fontId="7" fillId="3" borderId="7" xfId="0" applyFont="1" applyFill="1" applyBorder="1" applyAlignment="1">
      <alignment horizontal="center"/>
    </xf>
    <xf numFmtId="0" fontId="3" fillId="0" borderId="5" xfId="0" applyFont="1" applyBorder="1"/>
    <xf numFmtId="14" fontId="3" fillId="0" borderId="1" xfId="0" applyNumberFormat="1" applyFont="1" applyBorder="1"/>
    <xf numFmtId="0" fontId="5" fillId="5" borderId="1" xfId="0" applyFont="1" applyFill="1" applyBorder="1" applyAlignment="1">
      <alignment horizontal="center"/>
    </xf>
    <xf numFmtId="0" fontId="5" fillId="4" borderId="1" xfId="0" applyFont="1" applyFill="1" applyBorder="1" applyAlignment="1">
      <alignment horizontal="center" vertical="center"/>
    </xf>
    <xf numFmtId="0" fontId="3" fillId="0" borderId="18" xfId="0" applyFont="1" applyBorder="1"/>
    <xf numFmtId="0" fontId="3" fillId="0" borderId="18" xfId="0" applyFont="1" applyBorder="1" applyAlignment="1">
      <alignment vertical="center"/>
    </xf>
    <xf numFmtId="0" fontId="3" fillId="0" borderId="22" xfId="0" applyFont="1" applyBorder="1" applyAlignment="1">
      <alignment horizontal="right" vertical="center"/>
    </xf>
    <xf numFmtId="0" fontId="3" fillId="0" borderId="19" xfId="0" applyFont="1" applyBorder="1" applyAlignment="1">
      <alignment horizontal="right" vertical="center"/>
    </xf>
    <xf numFmtId="0" fontId="3" fillId="0" borderId="21" xfId="0" applyFont="1" applyBorder="1" applyAlignment="1">
      <alignment horizontal="right" vertical="center"/>
    </xf>
    <xf numFmtId="0" fontId="3" fillId="0" borderId="18" xfId="0" applyFont="1" applyBorder="1" applyAlignment="1">
      <alignment horizontal="right" vertical="center"/>
    </xf>
    <xf numFmtId="49" fontId="7" fillId="3" borderId="24" xfId="0" applyNumberFormat="1" applyFont="1" applyFill="1" applyBorder="1" applyAlignment="1">
      <alignment horizontal="center"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5" xfId="0" applyFont="1" applyBorder="1"/>
    <xf numFmtId="49" fontId="4" fillId="7" borderId="29" xfId="0" applyNumberFormat="1" applyFont="1" applyFill="1" applyBorder="1" applyAlignment="1">
      <alignment horizontal="center" vertical="center"/>
    </xf>
    <xf numFmtId="49" fontId="7" fillId="3" borderId="29" xfId="0" applyNumberFormat="1" applyFont="1" applyFill="1" applyBorder="1" applyAlignment="1">
      <alignment horizontal="center" vertical="center"/>
    </xf>
    <xf numFmtId="49" fontId="4" fillId="7" borderId="30" xfId="0" applyNumberFormat="1" applyFont="1" applyFill="1" applyBorder="1" applyAlignment="1">
      <alignment horizontal="center" vertical="center"/>
    </xf>
    <xf numFmtId="49" fontId="7" fillId="3" borderId="27" xfId="0" applyNumberFormat="1" applyFont="1" applyFill="1" applyBorder="1" applyAlignment="1">
      <alignment horizontal="center" vertical="center"/>
    </xf>
    <xf numFmtId="49" fontId="4" fillId="7" borderId="31" xfId="0" applyNumberFormat="1" applyFont="1" applyFill="1" applyBorder="1" applyAlignment="1">
      <alignment horizontal="center" vertical="center"/>
    </xf>
    <xf numFmtId="49" fontId="7" fillId="3" borderId="30" xfId="0" applyNumberFormat="1" applyFont="1" applyFill="1" applyBorder="1" applyAlignment="1">
      <alignment horizontal="center" vertical="center"/>
    </xf>
    <xf numFmtId="49" fontId="7" fillId="3" borderId="31" xfId="0" applyNumberFormat="1" applyFont="1" applyFill="1" applyBorder="1" applyAlignment="1">
      <alignment horizontal="center" vertical="center"/>
    </xf>
    <xf numFmtId="49" fontId="7" fillId="3" borderId="33" xfId="0" applyNumberFormat="1" applyFont="1" applyFill="1" applyBorder="1" applyAlignment="1">
      <alignment horizontal="center" vertical="center"/>
    </xf>
    <xf numFmtId="49" fontId="7" fillId="3" borderId="34" xfId="0" applyNumberFormat="1" applyFont="1" applyFill="1" applyBorder="1" applyAlignment="1">
      <alignment horizontal="center" vertical="center"/>
    </xf>
    <xf numFmtId="49" fontId="4" fillId="7" borderId="24" xfId="0" applyNumberFormat="1" applyFont="1" applyFill="1" applyBorder="1" applyAlignment="1">
      <alignment horizontal="center" vertical="center"/>
    </xf>
    <xf numFmtId="49" fontId="4" fillId="7" borderId="33" xfId="0" applyNumberFormat="1" applyFont="1" applyFill="1" applyBorder="1" applyAlignment="1">
      <alignment horizontal="center" vertical="center"/>
    </xf>
    <xf numFmtId="49" fontId="7" fillId="3" borderId="28" xfId="0" applyNumberFormat="1" applyFont="1" applyFill="1" applyBorder="1" applyAlignment="1">
      <alignment horizontal="center" vertical="center"/>
    </xf>
    <xf numFmtId="49" fontId="4" fillId="7" borderId="36" xfId="0" applyNumberFormat="1" applyFont="1" applyFill="1" applyBorder="1" applyAlignment="1">
      <alignment horizontal="center" vertical="center"/>
    </xf>
    <xf numFmtId="49" fontId="4" fillId="7" borderId="27" xfId="0" applyNumberFormat="1" applyFont="1" applyFill="1" applyBorder="1" applyAlignment="1">
      <alignment horizontal="center" vertical="center"/>
    </xf>
    <xf numFmtId="49" fontId="4" fillId="7" borderId="34" xfId="0" applyNumberFormat="1" applyFont="1" applyFill="1" applyBorder="1" applyAlignment="1">
      <alignment horizontal="center" vertical="center"/>
    </xf>
    <xf numFmtId="164" fontId="3" fillId="0" borderId="37" xfId="1" applyNumberFormat="1" applyFont="1" applyFill="1" applyBorder="1" applyAlignment="1">
      <alignment horizontal="right" vertical="center" wrapText="1"/>
    </xf>
    <xf numFmtId="0" fontId="3" fillId="0" borderId="2" xfId="0" applyFont="1" applyBorder="1" applyAlignment="1">
      <alignment horizontal="right"/>
    </xf>
    <xf numFmtId="0" fontId="3" fillId="0" borderId="23" xfId="0" applyFont="1" applyBorder="1" applyAlignment="1">
      <alignment horizontal="right" vertical="center"/>
    </xf>
    <xf numFmtId="0" fontId="3" fillId="0" borderId="10" xfId="0" applyFont="1" applyBorder="1"/>
    <xf numFmtId="49" fontId="3" fillId="3" borderId="24" xfId="0" applyNumberFormat="1" applyFont="1" applyFill="1" applyBorder="1" applyAlignment="1">
      <alignment horizontal="center" vertical="center"/>
    </xf>
    <xf numFmtId="14" fontId="3" fillId="0" borderId="2" xfId="0" applyNumberFormat="1" applyFont="1" applyBorder="1"/>
    <xf numFmtId="0" fontId="3" fillId="0" borderId="13" xfId="0" applyFont="1" applyBorder="1" applyAlignment="1">
      <alignment horizontal="right" vertical="center"/>
    </xf>
    <xf numFmtId="0" fontId="13" fillId="0" borderId="0" xfId="0" applyFont="1" applyAlignment="1">
      <alignment horizontal="left"/>
    </xf>
    <xf numFmtId="14" fontId="3" fillId="0" borderId="2" xfId="0" applyNumberFormat="1" applyFont="1" applyBorder="1" applyAlignment="1">
      <alignment horizontal="right"/>
    </xf>
    <xf numFmtId="14" fontId="3" fillId="0" borderId="2" xfId="0" applyNumberFormat="1" applyFont="1" applyBorder="1" applyAlignment="1">
      <alignment horizontal="right" vertical="center" wrapText="1"/>
    </xf>
    <xf numFmtId="14" fontId="3" fillId="0" borderId="2" xfId="0" applyNumberFormat="1" applyFont="1" applyBorder="1" applyAlignment="1">
      <alignment horizontal="right" vertical="center"/>
    </xf>
    <xf numFmtId="14" fontId="3" fillId="0" borderId="1" xfId="0" applyNumberFormat="1" applyFont="1" applyBorder="1" applyAlignment="1">
      <alignment horizontal="right" vertical="center" wrapText="1"/>
    </xf>
    <xf numFmtId="14" fontId="3" fillId="0" borderId="1" xfId="0" applyNumberFormat="1" applyFont="1" applyBorder="1" applyAlignment="1">
      <alignment horizontal="right" vertical="center"/>
    </xf>
    <xf numFmtId="14" fontId="3" fillId="0" borderId="1" xfId="0" applyNumberFormat="1" applyFont="1" applyBorder="1" applyAlignment="1">
      <alignment horizontal="right"/>
    </xf>
    <xf numFmtId="14" fontId="14" fillId="0" borderId="0" xfId="0" applyNumberFormat="1" applyFont="1"/>
    <xf numFmtId="14" fontId="14" fillId="0" borderId="0" xfId="0" applyNumberFormat="1" applyFont="1" applyAlignment="1">
      <alignment horizontal="right"/>
    </xf>
    <xf numFmtId="0" fontId="6" fillId="2" borderId="0" xfId="0" applyFont="1" applyFill="1" applyAlignment="1">
      <alignment horizontal="left" vertical="center"/>
    </xf>
    <xf numFmtId="0" fontId="6" fillId="2" borderId="2" xfId="0" applyFont="1" applyFill="1" applyBorder="1" applyAlignment="1">
      <alignment horizontal="left" vertical="center"/>
    </xf>
    <xf numFmtId="0" fontId="3" fillId="0" borderId="0" xfId="0" applyFont="1" applyAlignment="1">
      <alignment horizontal="center"/>
    </xf>
    <xf numFmtId="0" fontId="6" fillId="2" borderId="0" xfId="0" applyFont="1" applyFill="1" applyAlignment="1">
      <alignment horizontal="center" vertical="center"/>
    </xf>
    <xf numFmtId="0" fontId="6" fillId="2" borderId="2" xfId="0" applyFont="1" applyFill="1" applyBorder="1" applyAlignment="1">
      <alignment horizontal="center" vertical="center"/>
    </xf>
    <xf numFmtId="0" fontId="9" fillId="0" borderId="0" xfId="0" applyFont="1" applyAlignment="1">
      <alignment horizontal="right" vertical="center"/>
    </xf>
    <xf numFmtId="14" fontId="14" fillId="0" borderId="0" xfId="0" applyNumberFormat="1" applyFont="1" applyFill="1"/>
    <xf numFmtId="0" fontId="3" fillId="0" borderId="0" xfId="0" applyFont="1" applyFill="1"/>
    <xf numFmtId="0" fontId="6" fillId="0" borderId="0" xfId="0" applyFont="1" applyFill="1" applyAlignment="1">
      <alignment horizontal="left" vertical="center"/>
    </xf>
    <xf numFmtId="0" fontId="6" fillId="0" borderId="2" xfId="0" applyFont="1" applyFill="1" applyBorder="1" applyAlignment="1">
      <alignment horizontal="left" vertical="center"/>
    </xf>
    <xf numFmtId="14" fontId="3" fillId="0" borderId="0" xfId="0" applyNumberFormat="1" applyFont="1" applyFill="1" applyBorder="1" applyAlignment="1">
      <alignment horizontal="right"/>
    </xf>
    <xf numFmtId="14" fontId="3" fillId="0" borderId="0" xfId="0" applyNumberFormat="1" applyFont="1" applyFill="1" applyBorder="1" applyAlignment="1">
      <alignment horizontal="right" vertical="center" wrapText="1"/>
    </xf>
    <xf numFmtId="14" fontId="3" fillId="0" borderId="0" xfId="0" applyNumberFormat="1" applyFont="1" applyFill="1" applyBorder="1" applyAlignment="1">
      <alignment horizontal="right" vertical="center"/>
    </xf>
    <xf numFmtId="0" fontId="13" fillId="0" borderId="0" xfId="0" applyFont="1" applyFill="1" applyAlignment="1">
      <alignment horizontal="left"/>
    </xf>
    <xf numFmtId="0" fontId="5" fillId="5" borderId="8" xfId="0" applyFont="1" applyFill="1" applyBorder="1" applyAlignment="1">
      <alignment horizontal="center"/>
    </xf>
    <xf numFmtId="0" fontId="3" fillId="0" borderId="20" xfId="0" applyFont="1" applyBorder="1" applyAlignment="1">
      <alignment horizontal="right" vertical="center"/>
    </xf>
    <xf numFmtId="0" fontId="3" fillId="0" borderId="23" xfId="0" applyFont="1" applyBorder="1" applyAlignment="1">
      <alignment horizontal="right"/>
    </xf>
    <xf numFmtId="0" fontId="3" fillId="0" borderId="0" xfId="0" applyFont="1" applyBorder="1" applyAlignment="1">
      <alignment horizontal="right" vertical="center"/>
    </xf>
    <xf numFmtId="0" fontId="3" fillId="0" borderId="13" xfId="0" applyFont="1" applyBorder="1" applyAlignment="1">
      <alignment vertical="center"/>
    </xf>
    <xf numFmtId="0" fontId="3" fillId="0" borderId="17" xfId="0" applyFont="1" applyBorder="1" applyAlignment="1">
      <alignment vertical="center"/>
    </xf>
    <xf numFmtId="0" fontId="3" fillId="0" borderId="0" xfId="0" applyFont="1" applyBorder="1" applyAlignment="1">
      <alignment vertical="center"/>
    </xf>
    <xf numFmtId="0" fontId="3" fillId="0" borderId="11" xfId="0" applyFont="1" applyBorder="1" applyAlignment="1">
      <alignment vertical="center"/>
    </xf>
    <xf numFmtId="0" fontId="7" fillId="3" borderId="5" xfId="0" applyFont="1" applyFill="1" applyBorder="1" applyAlignment="1">
      <alignment horizontal="center"/>
    </xf>
    <xf numFmtId="0" fontId="3" fillId="0" borderId="1" xfId="0" applyFont="1" applyBorder="1" applyAlignment="1">
      <alignment horizontal="left"/>
    </xf>
    <xf numFmtId="0" fontId="3" fillId="0" borderId="13" xfId="0" applyFont="1" applyBorder="1" applyAlignment="1">
      <alignment horizontal="center" vertical="center"/>
    </xf>
    <xf numFmtId="0" fontId="3" fillId="0" borderId="11" xfId="0" applyFont="1" applyBorder="1" applyAlignment="1">
      <alignment horizontal="center" vertical="center"/>
    </xf>
    <xf numFmtId="0" fontId="3" fillId="0" borderId="26" xfId="0" applyFont="1" applyBorder="1"/>
    <xf numFmtId="0" fontId="3" fillId="0" borderId="27" xfId="0" applyFont="1" applyBorder="1" applyAlignment="1">
      <alignment vertical="center"/>
    </xf>
    <xf numFmtId="49" fontId="4" fillId="7" borderId="28" xfId="0" applyNumberFormat="1" applyFont="1" applyFill="1" applyBorder="1" applyAlignment="1">
      <alignment horizontal="center" vertical="center"/>
    </xf>
    <xf numFmtId="49" fontId="3" fillId="3" borderId="28" xfId="0" applyNumberFormat="1" applyFont="1" applyFill="1" applyBorder="1" applyAlignment="1">
      <alignment horizontal="center" vertical="center"/>
    </xf>
    <xf numFmtId="49" fontId="7" fillId="3" borderId="35" xfId="0" applyNumberFormat="1" applyFont="1" applyFill="1" applyBorder="1" applyAlignment="1">
      <alignment horizontal="center" vertical="center"/>
    </xf>
    <xf numFmtId="49" fontId="3" fillId="3" borderId="27" xfId="0" applyNumberFormat="1" applyFont="1" applyFill="1" applyBorder="1" applyAlignment="1">
      <alignment horizontal="center"/>
    </xf>
    <xf numFmtId="49" fontId="7" fillId="3" borderId="32" xfId="0" applyNumberFormat="1" applyFont="1" applyFill="1" applyBorder="1" applyAlignment="1">
      <alignment horizontal="center" vertical="center"/>
    </xf>
    <xf numFmtId="14" fontId="3" fillId="0" borderId="0" xfId="0" applyNumberFormat="1" applyFont="1" applyBorder="1" applyAlignment="1">
      <alignment vertical="center"/>
    </xf>
    <xf numFmtId="0" fontId="15" fillId="0" borderId="1" xfId="0" applyFont="1" applyBorder="1" applyAlignment="1">
      <alignment horizontal="center"/>
    </xf>
    <xf numFmtId="0" fontId="3" fillId="8" borderId="0" xfId="0" applyFont="1" applyFill="1" applyAlignment="1">
      <alignment horizontal="center"/>
    </xf>
    <xf numFmtId="0" fontId="3" fillId="9" borderId="0" xfId="0" applyFont="1" applyFill="1" applyAlignment="1">
      <alignment horizontal="center"/>
    </xf>
    <xf numFmtId="0" fontId="3" fillId="10" borderId="0" xfId="0" applyFont="1" applyFill="1" applyAlignment="1">
      <alignment horizontal="center"/>
    </xf>
  </cellXfs>
  <cellStyles count="2">
    <cellStyle name="Standard" xfId="0" builtinId="0"/>
    <cellStyle name="Währung" xfId="1" builtinId="4"/>
  </cellStyles>
  <dxfs count="57">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
      <font>
        <color theme="0"/>
      </font>
      <fill>
        <patternFill>
          <bgColor rgb="FFF97316"/>
        </patternFill>
      </fill>
    </dxf>
    <dxf>
      <font>
        <color theme="0"/>
      </font>
      <fill>
        <patternFill>
          <bgColor rgb="FF3B82F6"/>
        </patternFill>
      </fill>
    </dxf>
    <dxf>
      <font>
        <color theme="0"/>
      </font>
      <fill>
        <patternFill>
          <bgColor rgb="FF10B981"/>
        </patternFill>
      </fill>
    </dxf>
  </dxfs>
  <tableStyles count="0" defaultTableStyle="TableStyleMedium2" defaultPivotStyle="PivotStyleLight16"/>
  <colors>
    <mruColors>
      <color rgb="FF0F172A"/>
      <color rgb="FFE2E8F0"/>
      <color rgb="FFF8FAFC"/>
      <color rgb="FFF1F5F9"/>
      <color rgb="FF1E40AF"/>
      <color rgb="FFC2410C"/>
      <color rgb="FF64748B"/>
      <color rgb="FF854D0E"/>
      <color rgb="FFFEF9C3"/>
      <color rgb="FF3341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247650</xdr:colOff>
      <xdr:row>0</xdr:row>
      <xdr:rowOff>180924</xdr:rowOff>
    </xdr:from>
    <xdr:to>
      <xdr:col>2</xdr:col>
      <xdr:colOff>247829</xdr:colOff>
      <xdr:row>3</xdr:row>
      <xdr:rowOff>0</xdr:rowOff>
    </xdr:to>
    <xdr:pic>
      <xdr:nvPicPr>
        <xdr:cNvPr id="2" name="Grafik 1">
          <a:extLst>
            <a:ext uri="{FF2B5EF4-FFF2-40B4-BE49-F238E27FC236}">
              <a16:creationId xmlns:a16="http://schemas.microsoft.com/office/drawing/2014/main" id="{6E551DA2-2B1A-4E5D-8A41-C54E9F45F8DC}"/>
            </a:ext>
          </a:extLst>
        </xdr:cNvPr>
        <xdr:cNvPicPr>
          <a:picLocks noChangeAspect="1"/>
        </xdr:cNvPicPr>
      </xdr:nvPicPr>
      <xdr:blipFill>
        <a:blip xmlns:r="http://schemas.openxmlformats.org/officeDocument/2006/relationships" r:embed="rId1"/>
        <a:stretch>
          <a:fillRect/>
        </a:stretch>
      </xdr:blipFill>
      <xdr:spPr>
        <a:xfrm>
          <a:off x="285750" y="180924"/>
          <a:ext cx="1286054" cy="362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247650</xdr:colOff>
      <xdr:row>0</xdr:row>
      <xdr:rowOff>185006</xdr:rowOff>
    </xdr:from>
    <xdr:to>
      <xdr:col>2</xdr:col>
      <xdr:colOff>247829</xdr:colOff>
      <xdr:row>2</xdr:row>
      <xdr:rowOff>171450</xdr:rowOff>
    </xdr:to>
    <xdr:pic>
      <xdr:nvPicPr>
        <xdr:cNvPr id="2" name="Grafik 1">
          <a:extLst>
            <a:ext uri="{FF2B5EF4-FFF2-40B4-BE49-F238E27FC236}">
              <a16:creationId xmlns:a16="http://schemas.microsoft.com/office/drawing/2014/main" id="{E52BF4B3-833B-49FA-A6D1-71E4A9ECDF32}"/>
            </a:ext>
          </a:extLst>
        </xdr:cNvPr>
        <xdr:cNvPicPr>
          <a:picLocks noChangeAspect="1"/>
        </xdr:cNvPicPr>
      </xdr:nvPicPr>
      <xdr:blipFill>
        <a:blip xmlns:r="http://schemas.openxmlformats.org/officeDocument/2006/relationships" r:embed="rId1"/>
        <a:stretch>
          <a:fillRect/>
        </a:stretch>
      </xdr:blipFill>
      <xdr:spPr>
        <a:xfrm>
          <a:off x="285750" y="180924"/>
          <a:ext cx="1286054" cy="362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k@goVisor.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725D-3F0D-4626-A3A0-C9DC304617AE}">
  <sheetPr>
    <tabColor rgb="FF334155"/>
    <pageSetUpPr autoPageBreaks="0"/>
  </sheetPr>
  <dimension ref="A1:J40"/>
  <sheetViews>
    <sheetView showGridLines="0" zoomScaleNormal="100" workbookViewId="0">
      <selection activeCell="D22" sqref="D22"/>
    </sheetView>
  </sheetViews>
  <sheetFormatPr baseColWidth="10" defaultColWidth="9.140625" defaultRowHeight="14.25" x14ac:dyDescent="0.25"/>
  <cols>
    <col min="1" max="1" width="0.5703125" style="2" customWidth="1"/>
    <col min="2" max="2" width="19.28515625" style="2" customWidth="1"/>
    <col min="3" max="3" width="14.28515625" style="2" customWidth="1"/>
    <col min="4" max="4" width="42.5703125" style="2" customWidth="1"/>
    <col min="5" max="5" width="20" style="3" customWidth="1"/>
    <col min="6" max="6" width="72.140625" style="2" customWidth="1"/>
    <col min="7" max="7" width="42.140625" style="2" customWidth="1"/>
    <col min="8" max="8" width="18.5703125" style="2" customWidth="1"/>
    <col min="9" max="9" width="18.7109375" style="2" customWidth="1"/>
    <col min="10" max="10" width="18.5703125" style="2" customWidth="1"/>
    <col min="11" max="16384" width="9.140625" style="2"/>
  </cols>
  <sheetData>
    <row r="1" spans="1:10" x14ac:dyDescent="0.25">
      <c r="A1" s="91"/>
      <c r="B1" s="91"/>
      <c r="C1" s="91"/>
      <c r="J1" s="3" t="s">
        <v>21</v>
      </c>
    </row>
    <row r="2" spans="1:10" x14ac:dyDescent="0.25">
      <c r="A2" s="91"/>
      <c r="B2" s="91"/>
      <c r="C2" s="91"/>
    </row>
    <row r="3" spans="1:10" x14ac:dyDescent="0.25">
      <c r="A3" s="91"/>
      <c r="B3" s="91"/>
      <c r="C3" s="91"/>
    </row>
    <row r="4" spans="1:10" x14ac:dyDescent="0.25">
      <c r="A4" s="91"/>
      <c r="B4" s="91"/>
      <c r="C4" s="91"/>
    </row>
    <row r="5" spans="1:10" x14ac:dyDescent="0.25">
      <c r="B5" s="92" t="s">
        <v>0</v>
      </c>
      <c r="C5" s="89" t="s">
        <v>6</v>
      </c>
      <c r="D5" s="89" t="s">
        <v>1</v>
      </c>
      <c r="E5" s="92" t="s">
        <v>11</v>
      </c>
      <c r="F5" s="89" t="s">
        <v>8</v>
      </c>
      <c r="G5" s="89" t="s">
        <v>10</v>
      </c>
      <c r="H5" s="89" t="s">
        <v>9</v>
      </c>
      <c r="I5" s="89" t="s">
        <v>2</v>
      </c>
      <c r="J5" s="89" t="s">
        <v>19</v>
      </c>
    </row>
    <row r="6" spans="1:10" x14ac:dyDescent="0.25">
      <c r="B6" s="93"/>
      <c r="C6" s="90"/>
      <c r="D6" s="90"/>
      <c r="E6" s="93"/>
      <c r="F6" s="90"/>
      <c r="G6" s="90"/>
      <c r="H6" s="90"/>
      <c r="I6" s="90"/>
      <c r="J6" s="90"/>
    </row>
    <row r="7" spans="1:10" x14ac:dyDescent="0.25">
      <c r="B7" s="12" t="s">
        <v>4</v>
      </c>
      <c r="C7" s="6" t="s">
        <v>29</v>
      </c>
      <c r="D7" s="5" t="s">
        <v>32</v>
      </c>
      <c r="E7" s="15" t="s">
        <v>35</v>
      </c>
      <c r="F7" s="5" t="s">
        <v>36</v>
      </c>
      <c r="G7" s="6" t="s">
        <v>22</v>
      </c>
      <c r="H7" s="7">
        <v>23000000</v>
      </c>
      <c r="I7" s="8">
        <v>44741</v>
      </c>
      <c r="J7" s="9" t="s">
        <v>33</v>
      </c>
    </row>
    <row r="8" spans="1:10" x14ac:dyDescent="0.25">
      <c r="B8" s="12" t="s">
        <v>4</v>
      </c>
      <c r="C8" s="5" t="s">
        <v>30</v>
      </c>
      <c r="D8" s="5" t="s">
        <v>23</v>
      </c>
      <c r="E8" s="16" t="s">
        <v>17</v>
      </c>
      <c r="F8" s="5" t="s">
        <v>25</v>
      </c>
      <c r="G8" s="6" t="s">
        <v>24</v>
      </c>
      <c r="H8" s="7">
        <v>11000000</v>
      </c>
      <c r="I8" s="8">
        <v>44915</v>
      </c>
      <c r="J8" s="10" t="s">
        <v>34</v>
      </c>
    </row>
    <row r="9" spans="1:10" x14ac:dyDescent="0.25">
      <c r="B9" s="12" t="s">
        <v>4</v>
      </c>
      <c r="C9" s="5" t="s">
        <v>31</v>
      </c>
      <c r="D9" s="5" t="s">
        <v>26</v>
      </c>
      <c r="E9" s="16" t="s">
        <v>17</v>
      </c>
      <c r="F9" s="5" t="s">
        <v>28</v>
      </c>
      <c r="G9" s="6" t="s">
        <v>27</v>
      </c>
      <c r="H9" s="7">
        <v>4000000</v>
      </c>
      <c r="I9" s="8">
        <v>44676</v>
      </c>
      <c r="J9" s="10" t="s">
        <v>33</v>
      </c>
    </row>
    <row r="10" spans="1:10" ht="15" customHeight="1" x14ac:dyDescent="0.25">
      <c r="B10" s="13"/>
      <c r="C10" s="5"/>
      <c r="D10" s="5"/>
      <c r="E10" s="17"/>
      <c r="F10" s="5"/>
      <c r="G10" s="5"/>
      <c r="H10" s="5"/>
      <c r="I10" s="5"/>
      <c r="J10" s="10"/>
    </row>
    <row r="11" spans="1:10" x14ac:dyDescent="0.25">
      <c r="B11" s="13"/>
      <c r="C11" s="5"/>
      <c r="D11" s="5"/>
      <c r="E11" s="11"/>
      <c r="F11" s="5"/>
      <c r="G11" s="5"/>
      <c r="H11" s="5"/>
      <c r="I11" s="5"/>
      <c r="J11" s="10"/>
    </row>
    <row r="12" spans="1:10" x14ac:dyDescent="0.25">
      <c r="B12" s="13"/>
      <c r="C12" s="5"/>
      <c r="D12" s="5"/>
      <c r="E12" s="11"/>
      <c r="F12" s="5"/>
      <c r="G12" s="5"/>
      <c r="H12" s="5"/>
      <c r="I12" s="5"/>
      <c r="J12" s="10"/>
    </row>
    <row r="13" spans="1:10" x14ac:dyDescent="0.25">
      <c r="B13" s="13"/>
      <c r="C13" s="5"/>
      <c r="D13" s="5"/>
      <c r="E13" s="11"/>
      <c r="F13" s="5"/>
      <c r="G13" s="5"/>
      <c r="H13" s="5"/>
      <c r="I13" s="5"/>
      <c r="J13" s="10"/>
    </row>
    <row r="14" spans="1:10" x14ac:dyDescent="0.25">
      <c r="B14" s="13"/>
      <c r="C14" s="5"/>
      <c r="D14" s="5"/>
      <c r="E14" s="11"/>
      <c r="F14" s="5"/>
      <c r="G14" s="5"/>
      <c r="H14" s="5"/>
      <c r="I14" s="5"/>
      <c r="J14" s="10"/>
    </row>
    <row r="15" spans="1:10" x14ac:dyDescent="0.25">
      <c r="B15" s="13"/>
      <c r="C15" s="5"/>
      <c r="D15" s="5"/>
      <c r="E15" s="11"/>
      <c r="F15" s="5"/>
      <c r="G15" s="5"/>
      <c r="H15" s="5"/>
      <c r="I15" s="5"/>
      <c r="J15" s="10"/>
    </row>
    <row r="16" spans="1:10" x14ac:dyDescent="0.25">
      <c r="B16" s="13"/>
      <c r="C16" s="5"/>
      <c r="D16" s="5"/>
      <c r="E16" s="11"/>
      <c r="F16" s="5"/>
      <c r="G16" s="5"/>
      <c r="H16" s="5"/>
      <c r="I16" s="5"/>
      <c r="J16" s="10"/>
    </row>
    <row r="17" spans="2:10" x14ac:dyDescent="0.25">
      <c r="B17" s="13"/>
      <c r="C17" s="5"/>
      <c r="D17" s="5"/>
      <c r="E17" s="11"/>
      <c r="F17" s="5"/>
      <c r="G17" s="5"/>
      <c r="H17" s="5"/>
      <c r="I17" s="5"/>
      <c r="J17" s="10"/>
    </row>
    <row r="18" spans="2:10" x14ac:dyDescent="0.25">
      <c r="B18" s="13"/>
      <c r="C18" s="5"/>
      <c r="D18" s="5"/>
      <c r="E18" s="11"/>
      <c r="F18" s="5"/>
      <c r="G18" s="5"/>
      <c r="H18" s="5"/>
      <c r="I18" s="5"/>
      <c r="J18" s="10"/>
    </row>
    <row r="19" spans="2:10" x14ac:dyDescent="0.25">
      <c r="B19" s="13"/>
      <c r="C19" s="5"/>
      <c r="D19" s="5"/>
      <c r="E19" s="11"/>
      <c r="F19" s="5"/>
      <c r="G19" s="5"/>
      <c r="H19" s="5"/>
      <c r="I19" s="5"/>
      <c r="J19" s="10"/>
    </row>
    <row r="20" spans="2:10" x14ac:dyDescent="0.25">
      <c r="B20" s="13"/>
      <c r="C20" s="5"/>
      <c r="D20" s="5"/>
      <c r="E20" s="11"/>
      <c r="F20" s="5"/>
      <c r="G20" s="5"/>
      <c r="H20" s="5"/>
      <c r="I20" s="5"/>
      <c r="J20" s="10"/>
    </row>
    <row r="21" spans="2:10" x14ac:dyDescent="0.25">
      <c r="B21" s="13"/>
      <c r="C21" s="5"/>
      <c r="D21" s="5"/>
      <c r="E21" s="11"/>
      <c r="F21" s="5"/>
      <c r="G21" s="5"/>
      <c r="H21" s="5"/>
      <c r="I21" s="5"/>
      <c r="J21" s="10"/>
    </row>
    <row r="22" spans="2:10" x14ac:dyDescent="0.25">
      <c r="B22" s="13"/>
      <c r="C22" s="5"/>
      <c r="D22" s="5"/>
      <c r="E22" s="11"/>
      <c r="F22" s="5"/>
      <c r="G22" s="5"/>
      <c r="H22" s="5"/>
      <c r="I22" s="5"/>
      <c r="J22" s="10"/>
    </row>
    <row r="23" spans="2:10" x14ac:dyDescent="0.25">
      <c r="B23" s="13"/>
      <c r="C23" s="5"/>
      <c r="D23" s="5"/>
      <c r="E23" s="11"/>
      <c r="F23" s="5"/>
      <c r="G23" s="5"/>
      <c r="H23" s="5"/>
      <c r="I23" s="5"/>
      <c r="J23" s="10"/>
    </row>
    <row r="24" spans="2:10" x14ac:dyDescent="0.25">
      <c r="B24" s="13"/>
      <c r="C24" s="5"/>
      <c r="D24" s="5"/>
      <c r="E24" s="11"/>
      <c r="F24" s="5"/>
      <c r="G24" s="5"/>
      <c r="H24" s="5"/>
      <c r="I24" s="5"/>
      <c r="J24" s="10"/>
    </row>
    <row r="25" spans="2:10" x14ac:dyDescent="0.25">
      <c r="B25" s="13"/>
      <c r="C25" s="5"/>
      <c r="D25" s="5"/>
      <c r="E25" s="11"/>
      <c r="F25" s="5"/>
      <c r="G25" s="5"/>
      <c r="H25" s="5"/>
      <c r="I25" s="5"/>
      <c r="J25" s="10"/>
    </row>
    <row r="26" spans="2:10" x14ac:dyDescent="0.25">
      <c r="B26" s="13"/>
      <c r="C26" s="5"/>
      <c r="D26" s="5"/>
      <c r="E26" s="11"/>
      <c r="F26" s="5"/>
      <c r="G26" s="5"/>
      <c r="H26" s="5"/>
      <c r="I26" s="5"/>
      <c r="J26" s="10"/>
    </row>
    <row r="27" spans="2:10" x14ac:dyDescent="0.25">
      <c r="B27" s="13"/>
      <c r="C27" s="5"/>
      <c r="D27" s="5"/>
      <c r="E27" s="11"/>
      <c r="F27" s="5"/>
      <c r="G27" s="5"/>
      <c r="H27" s="5"/>
      <c r="I27" s="5"/>
      <c r="J27" s="10"/>
    </row>
    <row r="28" spans="2:10" x14ac:dyDescent="0.25">
      <c r="B28" s="13"/>
      <c r="C28" s="5"/>
      <c r="D28" s="5"/>
      <c r="E28" s="11"/>
      <c r="F28" s="5"/>
      <c r="G28" s="5"/>
      <c r="H28" s="5"/>
      <c r="I28" s="5"/>
      <c r="J28" s="10"/>
    </row>
    <row r="29" spans="2:10" x14ac:dyDescent="0.25">
      <c r="B29" s="13"/>
      <c r="C29" s="5"/>
      <c r="D29" s="5"/>
      <c r="E29" s="11"/>
      <c r="F29" s="5"/>
      <c r="G29" s="5"/>
      <c r="H29" s="5"/>
      <c r="I29" s="5"/>
      <c r="J29" s="10"/>
    </row>
    <row r="30" spans="2:10" x14ac:dyDescent="0.25">
      <c r="B30" s="13"/>
      <c r="C30" s="5"/>
      <c r="D30" s="5"/>
      <c r="E30" s="11"/>
      <c r="F30" s="5"/>
      <c r="G30" s="5"/>
      <c r="H30" s="5"/>
      <c r="I30" s="5"/>
      <c r="J30" s="10"/>
    </row>
    <row r="31" spans="2:10" x14ac:dyDescent="0.25">
      <c r="B31" s="13"/>
      <c r="C31" s="5"/>
      <c r="D31" s="5"/>
      <c r="E31" s="11"/>
      <c r="F31" s="5"/>
      <c r="G31" s="5"/>
      <c r="H31" s="5"/>
      <c r="I31" s="5"/>
      <c r="J31" s="10"/>
    </row>
    <row r="32" spans="2:10" x14ac:dyDescent="0.25">
      <c r="B32" s="13"/>
      <c r="C32" s="5"/>
      <c r="D32" s="5"/>
      <c r="E32" s="11"/>
      <c r="F32" s="5"/>
      <c r="G32" s="5"/>
      <c r="H32" s="5"/>
      <c r="I32" s="5"/>
      <c r="J32" s="10"/>
    </row>
    <row r="33" spans="2:10" x14ac:dyDescent="0.25">
      <c r="B33" s="13"/>
      <c r="C33" s="5"/>
      <c r="D33" s="5"/>
      <c r="E33" s="11"/>
      <c r="F33" s="5"/>
      <c r="G33" s="5"/>
      <c r="H33" s="5"/>
      <c r="I33" s="5"/>
      <c r="J33" s="10"/>
    </row>
    <row r="34" spans="2:10" x14ac:dyDescent="0.25">
      <c r="B34" s="13"/>
      <c r="C34" s="5"/>
      <c r="D34" s="5"/>
      <c r="E34" s="11"/>
      <c r="F34" s="5"/>
      <c r="G34" s="5"/>
      <c r="H34" s="5"/>
      <c r="I34" s="5"/>
      <c r="J34" s="10"/>
    </row>
    <row r="35" spans="2:10" x14ac:dyDescent="0.25">
      <c r="B35" s="13"/>
      <c r="C35" s="5"/>
      <c r="D35" s="5"/>
      <c r="E35" s="5"/>
      <c r="F35" s="5"/>
      <c r="G35" s="5"/>
      <c r="H35" s="5"/>
      <c r="I35" s="5"/>
      <c r="J35" s="10"/>
    </row>
    <row r="37" spans="2:10" x14ac:dyDescent="0.25">
      <c r="E37" s="14"/>
    </row>
    <row r="38" spans="2:10" x14ac:dyDescent="0.25">
      <c r="E38" s="14"/>
    </row>
    <row r="39" spans="2:10" x14ac:dyDescent="0.25">
      <c r="E39" s="14"/>
    </row>
    <row r="40" spans="2:10" x14ac:dyDescent="0.25">
      <c r="H40" s="94" t="s">
        <v>20</v>
      </c>
      <c r="I40" s="94"/>
      <c r="J40" s="94"/>
    </row>
  </sheetData>
  <autoFilter ref="B6:J6" xr:uid="{00000000-0001-0000-0000-000000000000}"/>
  <mergeCells count="11">
    <mergeCell ref="G5:G6"/>
    <mergeCell ref="H5:H6"/>
    <mergeCell ref="I5:I6"/>
    <mergeCell ref="J5:J6"/>
    <mergeCell ref="H40:J40"/>
    <mergeCell ref="F5:F6"/>
    <mergeCell ref="A1:C4"/>
    <mergeCell ref="B5:B6"/>
    <mergeCell ref="C5:C6"/>
    <mergeCell ref="D5:D6"/>
    <mergeCell ref="E5:E6"/>
  </mergeCells>
  <conditionalFormatting sqref="B5:C5 D7:F9 B7:C1048576 E37:E39">
    <cfRule type="containsText" dxfId="56" priority="13" operator="containsText" text="LANGFRISTIG">
      <formula>NOT(ISERROR(SEARCH("LANGFRISTIG",B5)))</formula>
    </cfRule>
    <cfRule type="containsText" dxfId="55" priority="14" operator="containsText" text="BEOBACHTEN">
      <formula>NOT(ISERROR(SEARCH("BEOBACHTEN",B5)))</formula>
    </cfRule>
    <cfRule type="containsText" dxfId="54" priority="15" operator="containsText" text="AKTIV">
      <formula>NOT(ISERROR(SEARCH("AKTIV",B5)))</formula>
    </cfRule>
  </conditionalFormatting>
  <conditionalFormatting sqref="D10:J35">
    <cfRule type="containsText" dxfId="53" priority="4" operator="containsText" text="LANGFRISTIG">
      <formula>NOT(ISERROR(SEARCH("LANGFRISTIG",D10)))</formula>
    </cfRule>
    <cfRule type="containsText" dxfId="52" priority="5" operator="containsText" text="BEOBACHTEN">
      <formula>NOT(ISERROR(SEARCH("BEOBACHTEN",D10)))</formula>
    </cfRule>
    <cfRule type="containsText" dxfId="51" priority="6" operator="containsText" text="AKTIV">
      <formula>NOT(ISERROR(SEARCH("AKTIV",D10)))</formula>
    </cfRule>
  </conditionalFormatting>
  <conditionalFormatting sqref="J8">
    <cfRule type="containsText" dxfId="50" priority="10" operator="containsText" text="LANGFRISTIG">
      <formula>NOT(ISERROR(SEARCH("LANGFRISTIG",J8)))</formula>
    </cfRule>
    <cfRule type="containsText" dxfId="49" priority="11" operator="containsText" text="BEOBACHTEN">
      <formula>NOT(ISERROR(SEARCH("BEOBACHTEN",J8)))</formula>
    </cfRule>
    <cfRule type="containsText" dxfId="48" priority="12" operator="containsText" text="AKTIV">
      <formula>NOT(ISERROR(SEARCH("AKTIV",J8)))</formula>
    </cfRule>
  </conditionalFormatting>
  <pageMargins left="0.7" right="0.7" top="0.75" bottom="0.75" header="0.3" footer="0.3"/>
  <pageSetup paperSize="9" orientation="landscape" r:id="rId1"/>
  <headerFooter>
    <oddFooter>&amp;R_x000D_&amp;1#&amp;"Arial"&amp;12&amp;KFF9800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7BBB-39B6-4A57-8841-C56C22B4295D}">
  <sheetPr>
    <tabColor rgb="FF334155"/>
    <pageSetUpPr autoPageBreaks="0"/>
  </sheetPr>
  <dimension ref="A1:P85"/>
  <sheetViews>
    <sheetView showGridLines="0" tabSelected="1" zoomScaleNormal="100" workbookViewId="0">
      <selection activeCell="Q7" sqref="Q7:R34"/>
    </sheetView>
  </sheetViews>
  <sheetFormatPr baseColWidth="10" defaultColWidth="9.140625" defaultRowHeight="14.25" x14ac:dyDescent="0.25"/>
  <cols>
    <col min="1" max="1" width="0.5703125" style="2" customWidth="1"/>
    <col min="2" max="2" width="19.28515625" style="2" customWidth="1"/>
    <col min="3" max="3" width="14.28515625" style="2" customWidth="1"/>
    <col min="4" max="4" width="35.85546875" style="2" customWidth="1"/>
    <col min="5" max="5" width="20" style="3" customWidth="1"/>
    <col min="6" max="6" width="65.85546875" style="2" customWidth="1"/>
    <col min="7" max="7" width="8.28515625" style="2" customWidth="1"/>
    <col min="8" max="8" width="50.42578125" style="2" customWidth="1"/>
    <col min="9" max="9" width="9.42578125" style="26" customWidth="1"/>
    <col min="10" max="10" width="15.5703125" style="2" customWidth="1"/>
    <col min="11" max="12" width="13.5703125" style="2" customWidth="1"/>
    <col min="13" max="13" width="40.28515625" style="2" customWidth="1"/>
    <col min="14" max="14" width="56.140625" style="2" customWidth="1"/>
    <col min="15" max="15" width="14.7109375" style="96" customWidth="1"/>
    <col min="16" max="16" width="14.140625" style="3" customWidth="1"/>
    <col min="17" max="16384" width="9.140625" style="2"/>
  </cols>
  <sheetData>
    <row r="1" spans="1:16" ht="15" customHeight="1" x14ac:dyDescent="0.25">
      <c r="A1" s="91"/>
      <c r="B1" s="91"/>
      <c r="C1" s="91"/>
      <c r="F1" s="87"/>
      <c r="G1" s="87"/>
      <c r="H1" s="87"/>
      <c r="I1" s="87"/>
      <c r="J1" s="87"/>
      <c r="K1" s="87"/>
      <c r="L1" s="87"/>
      <c r="M1" s="87"/>
      <c r="N1" s="88" t="s">
        <v>358</v>
      </c>
      <c r="O1" s="95"/>
    </row>
    <row r="2" spans="1:16" x14ac:dyDescent="0.25">
      <c r="A2" s="91"/>
      <c r="B2" s="91"/>
      <c r="C2" s="91"/>
    </row>
    <row r="3" spans="1:16" x14ac:dyDescent="0.25">
      <c r="A3" s="91"/>
      <c r="B3" s="91"/>
      <c r="C3" s="91"/>
    </row>
    <row r="4" spans="1:16" x14ac:dyDescent="0.25">
      <c r="A4" s="91"/>
      <c r="B4" s="91"/>
      <c r="C4" s="91"/>
    </row>
    <row r="5" spans="1:16" ht="14.25" customHeight="1" x14ac:dyDescent="0.25">
      <c r="B5" s="92" t="s">
        <v>0</v>
      </c>
      <c r="C5" s="89" t="s">
        <v>6</v>
      </c>
      <c r="D5" s="89" t="s">
        <v>1</v>
      </c>
      <c r="E5" s="92" t="s">
        <v>11</v>
      </c>
      <c r="F5" s="89" t="s">
        <v>8</v>
      </c>
      <c r="G5" s="89" t="s">
        <v>146</v>
      </c>
      <c r="H5" s="89" t="s">
        <v>10</v>
      </c>
      <c r="I5" s="89" t="s">
        <v>81</v>
      </c>
      <c r="J5" s="89" t="s">
        <v>124</v>
      </c>
      <c r="K5" s="89" t="s">
        <v>125</v>
      </c>
      <c r="L5" s="89" t="s">
        <v>126</v>
      </c>
      <c r="M5" s="89" t="s">
        <v>359</v>
      </c>
      <c r="N5" s="89" t="s">
        <v>360</v>
      </c>
      <c r="O5" s="97"/>
      <c r="P5" s="92" t="s">
        <v>408</v>
      </c>
    </row>
    <row r="6" spans="1:16" ht="15" customHeight="1" x14ac:dyDescent="0.25">
      <c r="B6" s="93"/>
      <c r="C6" s="90"/>
      <c r="D6" s="90"/>
      <c r="E6" s="93"/>
      <c r="F6" s="90"/>
      <c r="G6" s="90"/>
      <c r="H6" s="90"/>
      <c r="I6" s="90"/>
      <c r="J6" s="90"/>
      <c r="K6" s="90"/>
      <c r="L6" s="90"/>
      <c r="M6" s="90"/>
      <c r="N6" s="90"/>
      <c r="O6" s="98"/>
      <c r="P6" s="93"/>
    </row>
    <row r="7" spans="1:16" x14ac:dyDescent="0.25">
      <c r="B7" s="28" t="s">
        <v>70</v>
      </c>
      <c r="C7" s="74" t="s">
        <v>324</v>
      </c>
      <c r="D7" s="29" t="s">
        <v>355</v>
      </c>
      <c r="E7" s="111" t="s">
        <v>18</v>
      </c>
      <c r="F7" s="29" t="s">
        <v>325</v>
      </c>
      <c r="G7" s="41">
        <v>1</v>
      </c>
      <c r="H7" s="57" t="s">
        <v>326</v>
      </c>
      <c r="I7" s="117">
        <v>1</v>
      </c>
      <c r="J7" s="7">
        <v>1309274.5</v>
      </c>
      <c r="K7" s="78">
        <v>44917</v>
      </c>
      <c r="L7" s="74" t="s">
        <v>170</v>
      </c>
      <c r="M7" s="74" t="s">
        <v>392</v>
      </c>
      <c r="N7" s="81"/>
      <c r="O7" s="99"/>
      <c r="P7" s="126">
        <v>25</v>
      </c>
    </row>
    <row r="8" spans="1:16" x14ac:dyDescent="0.25">
      <c r="B8" s="12" t="s">
        <v>37</v>
      </c>
      <c r="C8" s="10" t="s">
        <v>31</v>
      </c>
      <c r="D8" s="5" t="s">
        <v>133</v>
      </c>
      <c r="E8" s="16" t="s">
        <v>17</v>
      </c>
      <c r="F8" s="5" t="s">
        <v>28</v>
      </c>
      <c r="G8" s="33">
        <v>1</v>
      </c>
      <c r="H8" s="56" t="s">
        <v>27</v>
      </c>
      <c r="I8" s="59">
        <v>2</v>
      </c>
      <c r="J8" s="7">
        <v>4000000</v>
      </c>
      <c r="K8" s="8">
        <v>44676</v>
      </c>
      <c r="L8" s="9" t="s">
        <v>167</v>
      </c>
      <c r="M8" s="9" t="s">
        <v>187</v>
      </c>
      <c r="N8" s="82"/>
      <c r="O8" s="100"/>
      <c r="P8" s="126">
        <v>25</v>
      </c>
    </row>
    <row r="9" spans="1:16" x14ac:dyDescent="0.25">
      <c r="B9" s="12" t="s">
        <v>37</v>
      </c>
      <c r="C9" s="10" t="s">
        <v>413</v>
      </c>
      <c r="D9" s="5" t="s">
        <v>414</v>
      </c>
      <c r="E9" s="16" t="s">
        <v>35</v>
      </c>
      <c r="F9" s="5" t="s">
        <v>415</v>
      </c>
      <c r="G9" s="33">
        <v>1</v>
      </c>
      <c r="H9" s="55" t="s">
        <v>221</v>
      </c>
      <c r="I9" s="59" t="s">
        <v>416</v>
      </c>
      <c r="J9" s="7">
        <v>9702290</v>
      </c>
      <c r="K9" s="31">
        <v>44705</v>
      </c>
      <c r="L9" s="9" t="s">
        <v>167</v>
      </c>
      <c r="M9" s="9" t="s">
        <v>190</v>
      </c>
      <c r="N9" s="83"/>
      <c r="P9" s="126">
        <v>25</v>
      </c>
    </row>
    <row r="10" spans="1:16" ht="15" customHeight="1" x14ac:dyDescent="0.25">
      <c r="B10" s="28" t="s">
        <v>70</v>
      </c>
      <c r="C10" s="106" t="s">
        <v>409</v>
      </c>
      <c r="D10" s="109" t="s">
        <v>410</v>
      </c>
      <c r="E10" s="16" t="s">
        <v>35</v>
      </c>
      <c r="F10" s="109" t="s">
        <v>411</v>
      </c>
      <c r="G10" s="33">
        <v>1</v>
      </c>
      <c r="H10" s="116" t="s">
        <v>91</v>
      </c>
      <c r="I10" s="60">
        <v>1</v>
      </c>
      <c r="J10" s="7">
        <v>10000000</v>
      </c>
      <c r="K10" s="122">
        <v>44372</v>
      </c>
      <c r="L10" s="9" t="s">
        <v>412</v>
      </c>
      <c r="M10" s="9" t="s">
        <v>388</v>
      </c>
      <c r="N10" s="85"/>
      <c r="P10" s="126">
        <v>25</v>
      </c>
    </row>
    <row r="11" spans="1:16" x14ac:dyDescent="0.25">
      <c r="B11" s="12" t="s">
        <v>37</v>
      </c>
      <c r="C11" s="42" t="s">
        <v>317</v>
      </c>
      <c r="D11" s="29" t="s">
        <v>348</v>
      </c>
      <c r="E11" s="43" t="s">
        <v>18</v>
      </c>
      <c r="F11" s="29" t="s">
        <v>318</v>
      </c>
      <c r="G11" s="41">
        <v>1</v>
      </c>
      <c r="H11" s="57" t="s">
        <v>319</v>
      </c>
      <c r="I11" s="69">
        <v>2</v>
      </c>
      <c r="J11" s="7">
        <v>10190250</v>
      </c>
      <c r="K11" s="45">
        <v>44894</v>
      </c>
      <c r="L11" s="74" t="s">
        <v>170</v>
      </c>
      <c r="M11" s="74" t="s">
        <v>388</v>
      </c>
      <c r="N11" s="81"/>
      <c r="O11" s="99"/>
      <c r="P11" s="126">
        <v>25</v>
      </c>
    </row>
    <row r="12" spans="1:16" x14ac:dyDescent="0.25">
      <c r="B12" s="12" t="s">
        <v>37</v>
      </c>
      <c r="C12" s="42" t="s">
        <v>327</v>
      </c>
      <c r="D12" s="29" t="s">
        <v>328</v>
      </c>
      <c r="E12" s="43" t="s">
        <v>18</v>
      </c>
      <c r="F12" s="29" t="s">
        <v>329</v>
      </c>
      <c r="G12" s="41">
        <v>1</v>
      </c>
      <c r="H12" s="57" t="s">
        <v>330</v>
      </c>
      <c r="I12" s="59">
        <v>4</v>
      </c>
      <c r="J12" s="7">
        <v>10405440</v>
      </c>
      <c r="K12" s="45">
        <v>44901</v>
      </c>
      <c r="L12" s="74" t="s">
        <v>170</v>
      </c>
      <c r="M12" s="74" t="s">
        <v>386</v>
      </c>
      <c r="N12" s="81"/>
      <c r="O12" s="99"/>
      <c r="P12" s="126">
        <v>25</v>
      </c>
    </row>
    <row r="13" spans="1:16" x14ac:dyDescent="0.25">
      <c r="B13" s="12" t="s">
        <v>37</v>
      </c>
      <c r="C13" s="42" t="s">
        <v>344</v>
      </c>
      <c r="D13" s="29" t="s">
        <v>345</v>
      </c>
      <c r="E13" s="16" t="s">
        <v>35</v>
      </c>
      <c r="F13" s="29" t="s">
        <v>346</v>
      </c>
      <c r="G13" s="41">
        <v>1</v>
      </c>
      <c r="H13" s="57" t="s">
        <v>347</v>
      </c>
      <c r="I13" s="59">
        <v>4</v>
      </c>
      <c r="J13" s="7">
        <v>10530000</v>
      </c>
      <c r="K13" s="45">
        <v>44774</v>
      </c>
      <c r="L13" s="74" t="s">
        <v>168</v>
      </c>
      <c r="M13" s="74" t="s">
        <v>378</v>
      </c>
      <c r="N13" s="81" t="s">
        <v>400</v>
      </c>
      <c r="O13" s="99"/>
      <c r="P13" s="126">
        <v>25</v>
      </c>
    </row>
    <row r="14" spans="1:16" x14ac:dyDescent="0.25">
      <c r="B14" s="28" t="s">
        <v>70</v>
      </c>
      <c r="C14" s="42" t="s">
        <v>340</v>
      </c>
      <c r="D14" s="29" t="s">
        <v>341</v>
      </c>
      <c r="E14" s="16" t="s">
        <v>17</v>
      </c>
      <c r="F14" s="29" t="s">
        <v>342</v>
      </c>
      <c r="G14" s="41">
        <v>1</v>
      </c>
      <c r="H14" s="57" t="s">
        <v>343</v>
      </c>
      <c r="I14" s="59">
        <v>2</v>
      </c>
      <c r="J14" s="7">
        <v>10553613.859999999</v>
      </c>
      <c r="K14" s="45">
        <v>44739</v>
      </c>
      <c r="L14" s="42" t="s">
        <v>167</v>
      </c>
      <c r="M14" s="42" t="s">
        <v>375</v>
      </c>
      <c r="N14" s="86"/>
      <c r="O14" s="99"/>
      <c r="P14" s="126">
        <v>25</v>
      </c>
    </row>
    <row r="15" spans="1:16" x14ac:dyDescent="0.25">
      <c r="B15" s="103" t="s">
        <v>70</v>
      </c>
      <c r="C15" s="42" t="s">
        <v>337</v>
      </c>
      <c r="D15" s="29" t="s">
        <v>357</v>
      </c>
      <c r="E15" s="16" t="s">
        <v>35</v>
      </c>
      <c r="F15" s="29" t="s">
        <v>338</v>
      </c>
      <c r="G15" s="41">
        <v>2</v>
      </c>
      <c r="H15" s="57" t="s">
        <v>339</v>
      </c>
      <c r="I15" s="58" t="s">
        <v>83</v>
      </c>
      <c r="J15" s="7">
        <v>10584000</v>
      </c>
      <c r="K15" s="45">
        <v>44769</v>
      </c>
      <c r="L15" s="42" t="s">
        <v>169</v>
      </c>
      <c r="M15" s="42" t="s">
        <v>379</v>
      </c>
      <c r="N15" s="86"/>
      <c r="O15" s="99"/>
      <c r="P15" s="126">
        <v>25</v>
      </c>
    </row>
    <row r="16" spans="1:16" x14ac:dyDescent="0.25">
      <c r="B16" s="12" t="s">
        <v>37</v>
      </c>
      <c r="C16" s="42" t="s">
        <v>334</v>
      </c>
      <c r="D16" s="29" t="s">
        <v>177</v>
      </c>
      <c r="E16" s="16" t="s">
        <v>35</v>
      </c>
      <c r="F16" s="29" t="s">
        <v>335</v>
      </c>
      <c r="G16" s="41">
        <v>1</v>
      </c>
      <c r="H16" s="57" t="s">
        <v>336</v>
      </c>
      <c r="I16" s="59">
        <v>2</v>
      </c>
      <c r="J16" s="7">
        <v>10821900</v>
      </c>
      <c r="K16" s="45">
        <v>44559</v>
      </c>
      <c r="L16" s="42" t="s">
        <v>168</v>
      </c>
      <c r="M16" s="42" t="s">
        <v>190</v>
      </c>
      <c r="N16" s="86"/>
      <c r="O16" s="99"/>
      <c r="P16" s="126">
        <v>25</v>
      </c>
    </row>
    <row r="17" spans="2:16" x14ac:dyDescent="0.25">
      <c r="B17" s="28" t="s">
        <v>70</v>
      </c>
      <c r="C17" s="10" t="s">
        <v>30</v>
      </c>
      <c r="D17" s="5" t="s">
        <v>133</v>
      </c>
      <c r="E17" s="16" t="s">
        <v>17</v>
      </c>
      <c r="F17" s="5" t="s">
        <v>25</v>
      </c>
      <c r="G17" s="33">
        <v>1</v>
      </c>
      <c r="H17" s="55" t="s">
        <v>24</v>
      </c>
      <c r="I17" s="59">
        <v>2</v>
      </c>
      <c r="J17" s="7">
        <v>11000000</v>
      </c>
      <c r="K17" s="32">
        <v>44915</v>
      </c>
      <c r="L17" s="10" t="s">
        <v>170</v>
      </c>
      <c r="M17" s="10" t="s">
        <v>391</v>
      </c>
      <c r="N17" s="84"/>
      <c r="O17" s="100"/>
      <c r="P17" s="126">
        <v>25</v>
      </c>
    </row>
    <row r="18" spans="2:16" x14ac:dyDescent="0.25">
      <c r="B18" s="12" t="s">
        <v>37</v>
      </c>
      <c r="C18" s="42" t="s">
        <v>331</v>
      </c>
      <c r="D18" s="29" t="s">
        <v>350</v>
      </c>
      <c r="E18" s="16" t="s">
        <v>35</v>
      </c>
      <c r="F18" s="29" t="s">
        <v>332</v>
      </c>
      <c r="G18" s="41">
        <v>3</v>
      </c>
      <c r="H18" s="57" t="s">
        <v>333</v>
      </c>
      <c r="I18" s="59">
        <v>2</v>
      </c>
      <c r="J18" s="7">
        <v>12310924</v>
      </c>
      <c r="K18" s="45">
        <v>44820</v>
      </c>
      <c r="L18" s="42" t="s">
        <v>169</v>
      </c>
      <c r="M18" s="42" t="s">
        <v>384</v>
      </c>
      <c r="N18" s="86"/>
      <c r="O18" s="99"/>
      <c r="P18" s="3" t="s">
        <v>407</v>
      </c>
    </row>
    <row r="19" spans="2:16" x14ac:dyDescent="0.25">
      <c r="B19" s="28" t="s">
        <v>70</v>
      </c>
      <c r="C19" s="42" t="s">
        <v>320</v>
      </c>
      <c r="D19" s="29" t="s">
        <v>321</v>
      </c>
      <c r="E19" s="16" t="s">
        <v>35</v>
      </c>
      <c r="F19" s="29" t="s">
        <v>322</v>
      </c>
      <c r="G19" s="41">
        <v>1</v>
      </c>
      <c r="H19" s="57" t="s">
        <v>323</v>
      </c>
      <c r="I19" s="58">
        <v>1</v>
      </c>
      <c r="J19" s="7">
        <v>13103262.699999999</v>
      </c>
      <c r="K19" s="45">
        <v>44601</v>
      </c>
      <c r="L19" s="42" t="s">
        <v>166</v>
      </c>
      <c r="M19" s="123" t="s">
        <v>406</v>
      </c>
      <c r="N19" s="86" t="s">
        <v>395</v>
      </c>
      <c r="O19" s="99"/>
      <c r="P19" s="126">
        <v>25</v>
      </c>
    </row>
    <row r="20" spans="2:16" x14ac:dyDescent="0.25">
      <c r="B20" s="103" t="s">
        <v>70</v>
      </c>
      <c r="C20" s="42" t="s">
        <v>313</v>
      </c>
      <c r="D20" s="29" t="s">
        <v>314</v>
      </c>
      <c r="E20" s="16" t="s">
        <v>17</v>
      </c>
      <c r="F20" s="29" t="s">
        <v>315</v>
      </c>
      <c r="G20" s="41">
        <v>1</v>
      </c>
      <c r="H20" s="57" t="s">
        <v>316</v>
      </c>
      <c r="I20" s="58">
        <v>1</v>
      </c>
      <c r="J20" s="7">
        <v>13865003.039999999</v>
      </c>
      <c r="K20" s="45">
        <v>44826</v>
      </c>
      <c r="L20" s="42" t="s">
        <v>169</v>
      </c>
      <c r="M20" s="42" t="s">
        <v>382</v>
      </c>
      <c r="N20" s="86"/>
      <c r="O20" s="99"/>
      <c r="P20" s="126">
        <v>25</v>
      </c>
    </row>
    <row r="21" spans="2:16" x14ac:dyDescent="0.25">
      <c r="B21" s="12" t="s">
        <v>37</v>
      </c>
      <c r="C21" s="42" t="s">
        <v>310</v>
      </c>
      <c r="D21" s="29" t="s">
        <v>356</v>
      </c>
      <c r="E21" s="43" t="s">
        <v>18</v>
      </c>
      <c r="F21" s="29" t="s">
        <v>311</v>
      </c>
      <c r="G21" s="41">
        <v>1</v>
      </c>
      <c r="H21" s="57" t="s">
        <v>312</v>
      </c>
      <c r="I21" s="58">
        <v>1</v>
      </c>
      <c r="J21" s="7">
        <v>13959660</v>
      </c>
      <c r="K21" s="45">
        <v>44698</v>
      </c>
      <c r="L21" s="42" t="s">
        <v>171</v>
      </c>
      <c r="M21" s="42" t="s">
        <v>370</v>
      </c>
      <c r="N21" s="86"/>
      <c r="O21" s="99"/>
      <c r="P21" s="126">
        <v>25</v>
      </c>
    </row>
    <row r="22" spans="2:16" x14ac:dyDescent="0.25">
      <c r="B22" s="12" t="s">
        <v>37</v>
      </c>
      <c r="C22" s="42" t="s">
        <v>299</v>
      </c>
      <c r="D22" s="29" t="s">
        <v>309</v>
      </c>
      <c r="E22" s="43" t="s">
        <v>18</v>
      </c>
      <c r="F22" s="29" t="s">
        <v>300</v>
      </c>
      <c r="G22" s="41">
        <v>1</v>
      </c>
      <c r="H22" s="57" t="s">
        <v>301</v>
      </c>
      <c r="I22" s="59">
        <v>4</v>
      </c>
      <c r="J22" s="7">
        <v>15000000</v>
      </c>
      <c r="K22" s="32">
        <v>44614</v>
      </c>
      <c r="L22" s="10" t="s">
        <v>166</v>
      </c>
      <c r="M22" s="10" t="s">
        <v>365</v>
      </c>
      <c r="N22" s="84" t="s">
        <v>396</v>
      </c>
      <c r="O22" s="100"/>
      <c r="P22" s="126">
        <v>25</v>
      </c>
    </row>
    <row r="23" spans="2:16" x14ac:dyDescent="0.25">
      <c r="B23" s="12" t="s">
        <v>37</v>
      </c>
      <c r="C23" s="42" t="s">
        <v>302</v>
      </c>
      <c r="D23" s="29" t="s">
        <v>303</v>
      </c>
      <c r="E23" s="43" t="s">
        <v>18</v>
      </c>
      <c r="F23" s="112" t="s">
        <v>304</v>
      </c>
      <c r="G23" s="41">
        <v>1</v>
      </c>
      <c r="H23" s="115" t="s">
        <v>305</v>
      </c>
      <c r="I23" s="59">
        <v>5</v>
      </c>
      <c r="J23" s="7">
        <v>15000000</v>
      </c>
      <c r="K23" s="32">
        <v>44708</v>
      </c>
      <c r="L23" s="10" t="s">
        <v>167</v>
      </c>
      <c r="M23" s="10" t="s">
        <v>192</v>
      </c>
      <c r="N23" s="84"/>
      <c r="O23" s="100"/>
      <c r="P23" s="126">
        <v>25</v>
      </c>
    </row>
    <row r="24" spans="2:16" x14ac:dyDescent="0.25">
      <c r="B24" s="12" t="s">
        <v>37</v>
      </c>
      <c r="C24" s="42" t="s">
        <v>306</v>
      </c>
      <c r="D24" s="29" t="s">
        <v>256</v>
      </c>
      <c r="E24" s="16" t="s">
        <v>17</v>
      </c>
      <c r="F24" s="29" t="s">
        <v>307</v>
      </c>
      <c r="G24" s="41">
        <v>1</v>
      </c>
      <c r="H24" s="57" t="s">
        <v>308</v>
      </c>
      <c r="I24" s="58">
        <v>1</v>
      </c>
      <c r="J24" s="7">
        <v>15000000</v>
      </c>
      <c r="K24" s="32">
        <v>44805</v>
      </c>
      <c r="L24" s="10" t="s">
        <v>169</v>
      </c>
      <c r="M24" s="10" t="s">
        <v>380</v>
      </c>
      <c r="N24" s="84"/>
      <c r="O24" s="100"/>
      <c r="P24" s="3" t="s">
        <v>407</v>
      </c>
    </row>
    <row r="25" spans="2:16" x14ac:dyDescent="0.25">
      <c r="B25" s="12" t="s">
        <v>37</v>
      </c>
      <c r="C25" s="42" t="s">
        <v>295</v>
      </c>
      <c r="D25" s="29" t="s">
        <v>123</v>
      </c>
      <c r="E25" s="16" t="s">
        <v>17</v>
      </c>
      <c r="F25" s="44" t="s">
        <v>296</v>
      </c>
      <c r="G25" s="41">
        <v>3</v>
      </c>
      <c r="H25" s="57" t="s">
        <v>297</v>
      </c>
      <c r="I25" s="59" t="s">
        <v>298</v>
      </c>
      <c r="J25" s="7">
        <v>15068600</v>
      </c>
      <c r="K25" s="32">
        <v>44613</v>
      </c>
      <c r="L25" s="10" t="s">
        <v>166</v>
      </c>
      <c r="M25" s="10" t="s">
        <v>362</v>
      </c>
      <c r="N25" s="84" t="s">
        <v>405</v>
      </c>
      <c r="O25" s="100"/>
      <c r="P25" s="126">
        <v>25</v>
      </c>
    </row>
    <row r="26" spans="2:16" x14ac:dyDescent="0.25">
      <c r="B26" s="28" t="s">
        <v>70</v>
      </c>
      <c r="C26" s="42" t="s">
        <v>292</v>
      </c>
      <c r="D26" s="29" t="s">
        <v>351</v>
      </c>
      <c r="E26" s="16" t="s">
        <v>35</v>
      </c>
      <c r="F26" s="29" t="s">
        <v>293</v>
      </c>
      <c r="G26" s="41">
        <v>1</v>
      </c>
      <c r="H26" s="57" t="s">
        <v>294</v>
      </c>
      <c r="I26" s="71">
        <v>1</v>
      </c>
      <c r="J26" s="7">
        <v>15318165</v>
      </c>
      <c r="K26" s="32">
        <v>44881</v>
      </c>
      <c r="L26" s="10" t="s">
        <v>170</v>
      </c>
      <c r="M26" s="10" t="s">
        <v>387</v>
      </c>
      <c r="N26" s="84"/>
      <c r="O26" s="100"/>
      <c r="P26" s="126">
        <v>25</v>
      </c>
    </row>
    <row r="27" spans="2:16" x14ac:dyDescent="0.25">
      <c r="B27" s="28" t="s">
        <v>70</v>
      </c>
      <c r="C27" s="42" t="s">
        <v>289</v>
      </c>
      <c r="D27" s="29" t="s">
        <v>111</v>
      </c>
      <c r="E27" s="16" t="s">
        <v>17</v>
      </c>
      <c r="F27" s="44" t="s">
        <v>290</v>
      </c>
      <c r="G27" s="41">
        <v>1</v>
      </c>
      <c r="H27" s="57" t="s">
        <v>291</v>
      </c>
      <c r="I27" s="67">
        <v>1</v>
      </c>
      <c r="J27" s="7">
        <v>15500000</v>
      </c>
      <c r="K27" s="32">
        <v>44882</v>
      </c>
      <c r="L27" s="10" t="s">
        <v>170</v>
      </c>
      <c r="M27" s="10" t="s">
        <v>187</v>
      </c>
      <c r="N27" s="84"/>
      <c r="O27" s="100"/>
      <c r="P27" s="126">
        <v>25</v>
      </c>
    </row>
    <row r="28" spans="2:16" x14ac:dyDescent="0.25">
      <c r="B28" s="12" t="s">
        <v>37</v>
      </c>
      <c r="C28" s="42" t="s">
        <v>285</v>
      </c>
      <c r="D28" s="29" t="s">
        <v>286</v>
      </c>
      <c r="E28" s="43" t="s">
        <v>18</v>
      </c>
      <c r="F28" s="44" t="s">
        <v>287</v>
      </c>
      <c r="G28" s="41">
        <v>1</v>
      </c>
      <c r="H28" s="57" t="s">
        <v>288</v>
      </c>
      <c r="I28" s="63">
        <v>3</v>
      </c>
      <c r="J28" s="7">
        <v>15891310.43</v>
      </c>
      <c r="K28" s="32">
        <v>44719</v>
      </c>
      <c r="L28" s="10" t="s">
        <v>167</v>
      </c>
      <c r="M28" s="10" t="s">
        <v>373</v>
      </c>
      <c r="N28" s="84"/>
      <c r="O28" s="100"/>
      <c r="P28" s="126">
        <v>25</v>
      </c>
    </row>
    <row r="29" spans="2:16" x14ac:dyDescent="0.25">
      <c r="B29" s="12" t="s">
        <v>37</v>
      </c>
      <c r="C29" s="42" t="s">
        <v>281</v>
      </c>
      <c r="D29" s="29" t="s">
        <v>111</v>
      </c>
      <c r="E29" s="16" t="s">
        <v>17</v>
      </c>
      <c r="F29" s="44" t="s">
        <v>282</v>
      </c>
      <c r="G29" s="41">
        <v>1</v>
      </c>
      <c r="H29" s="29" t="s">
        <v>283</v>
      </c>
      <c r="I29" s="59">
        <v>2</v>
      </c>
      <c r="J29" s="7">
        <v>16253000</v>
      </c>
      <c r="K29" s="32">
        <v>44816</v>
      </c>
      <c r="L29" s="10" t="s">
        <v>169</v>
      </c>
      <c r="M29" s="10" t="s">
        <v>187</v>
      </c>
      <c r="N29" s="84"/>
      <c r="O29" s="100"/>
      <c r="P29" s="126">
        <v>25</v>
      </c>
    </row>
    <row r="30" spans="2:16" x14ac:dyDescent="0.25">
      <c r="B30" s="28" t="s">
        <v>70</v>
      </c>
      <c r="C30" s="42" t="s">
        <v>278</v>
      </c>
      <c r="D30" s="29" t="s">
        <v>134</v>
      </c>
      <c r="E30" s="16" t="s">
        <v>35</v>
      </c>
      <c r="F30" s="44" t="s">
        <v>279</v>
      </c>
      <c r="G30" s="41">
        <v>30</v>
      </c>
      <c r="H30" s="29" t="s">
        <v>280</v>
      </c>
      <c r="I30" s="62" t="s">
        <v>284</v>
      </c>
      <c r="J30" s="7">
        <v>17096941.710000001</v>
      </c>
      <c r="K30" s="32">
        <v>44537</v>
      </c>
      <c r="L30" s="10" t="s">
        <v>168</v>
      </c>
      <c r="M30" s="10" t="s">
        <v>193</v>
      </c>
      <c r="N30" s="84"/>
      <c r="O30" s="100"/>
      <c r="P30" s="126">
        <v>25</v>
      </c>
    </row>
    <row r="31" spans="2:16" x14ac:dyDescent="0.25">
      <c r="B31" s="12" t="s">
        <v>37</v>
      </c>
      <c r="C31" s="42" t="s">
        <v>275</v>
      </c>
      <c r="D31" s="29" t="s">
        <v>110</v>
      </c>
      <c r="E31" s="16" t="s">
        <v>35</v>
      </c>
      <c r="F31" s="44" t="s">
        <v>276</v>
      </c>
      <c r="G31" s="41">
        <v>1</v>
      </c>
      <c r="H31" s="29" t="s">
        <v>277</v>
      </c>
      <c r="I31" s="121">
        <v>3</v>
      </c>
      <c r="J31" s="7">
        <v>17126070</v>
      </c>
      <c r="K31" s="32">
        <v>44830</v>
      </c>
      <c r="L31" s="10" t="s">
        <v>169</v>
      </c>
      <c r="M31" s="10" t="s">
        <v>190</v>
      </c>
      <c r="N31" s="84"/>
      <c r="O31" s="100"/>
      <c r="P31" s="126">
        <v>25</v>
      </c>
    </row>
    <row r="32" spans="2:16" x14ac:dyDescent="0.25">
      <c r="B32" s="12" t="s">
        <v>37</v>
      </c>
      <c r="C32" s="42" t="s">
        <v>273</v>
      </c>
      <c r="D32" s="29" t="s">
        <v>177</v>
      </c>
      <c r="E32" s="16" t="s">
        <v>35</v>
      </c>
      <c r="F32" s="44" t="s">
        <v>274</v>
      </c>
      <c r="G32" s="41">
        <v>1</v>
      </c>
      <c r="H32" s="29" t="s">
        <v>221</v>
      </c>
      <c r="I32" s="63">
        <v>11</v>
      </c>
      <c r="J32" s="7">
        <v>17743540</v>
      </c>
      <c r="K32" s="32">
        <v>44705</v>
      </c>
      <c r="L32" s="10" t="s">
        <v>167</v>
      </c>
      <c r="M32" s="10" t="s">
        <v>190</v>
      </c>
      <c r="N32" s="84"/>
      <c r="O32" s="100"/>
      <c r="P32" s="126">
        <v>25</v>
      </c>
    </row>
    <row r="33" spans="2:16" x14ac:dyDescent="0.25">
      <c r="B33" s="28" t="s">
        <v>70</v>
      </c>
      <c r="C33" s="42" t="s">
        <v>269</v>
      </c>
      <c r="D33" s="29" t="s">
        <v>270</v>
      </c>
      <c r="E33" s="16" t="s">
        <v>35</v>
      </c>
      <c r="F33" s="44" t="s">
        <v>271</v>
      </c>
      <c r="G33" s="41">
        <v>1</v>
      </c>
      <c r="H33" s="29" t="s">
        <v>272</v>
      </c>
      <c r="I33" s="59">
        <v>3</v>
      </c>
      <c r="J33" s="7">
        <v>17792439</v>
      </c>
      <c r="K33" s="32">
        <v>44879</v>
      </c>
      <c r="L33" s="10" t="s">
        <v>170</v>
      </c>
      <c r="M33" s="10" t="s">
        <v>385</v>
      </c>
      <c r="N33" s="84"/>
      <c r="O33" s="100"/>
      <c r="P33" s="126">
        <v>25</v>
      </c>
    </row>
    <row r="34" spans="2:16" x14ac:dyDescent="0.25">
      <c r="B34" s="28" t="s">
        <v>70</v>
      </c>
      <c r="C34" s="42" t="s">
        <v>266</v>
      </c>
      <c r="D34" s="29" t="s">
        <v>352</v>
      </c>
      <c r="E34" s="16" t="s">
        <v>35</v>
      </c>
      <c r="F34" s="44" t="s">
        <v>267</v>
      </c>
      <c r="G34" s="41">
        <v>1</v>
      </c>
      <c r="H34" s="29" t="s">
        <v>268</v>
      </c>
      <c r="I34" s="64">
        <v>3</v>
      </c>
      <c r="J34" s="7">
        <v>18000000</v>
      </c>
      <c r="K34" s="32">
        <v>44768</v>
      </c>
      <c r="L34" s="10" t="s">
        <v>169</v>
      </c>
      <c r="M34" s="123" t="s">
        <v>406</v>
      </c>
      <c r="N34" s="84" t="s">
        <v>404</v>
      </c>
      <c r="O34" s="100"/>
      <c r="P34" s="3" t="s">
        <v>407</v>
      </c>
    </row>
    <row r="35" spans="2:16" x14ac:dyDescent="0.25">
      <c r="B35" s="12" t="s">
        <v>37</v>
      </c>
      <c r="C35" s="42" t="s">
        <v>263</v>
      </c>
      <c r="D35" s="29" t="s">
        <v>53</v>
      </c>
      <c r="E35" s="16" t="s">
        <v>35</v>
      </c>
      <c r="F35" s="44" t="s">
        <v>264</v>
      </c>
      <c r="G35" s="41">
        <v>2</v>
      </c>
      <c r="H35" s="29" t="s">
        <v>265</v>
      </c>
      <c r="I35" s="63" t="s">
        <v>204</v>
      </c>
      <c r="J35" s="7">
        <v>18048000</v>
      </c>
      <c r="K35" s="32">
        <v>44844</v>
      </c>
      <c r="L35" s="10" t="s">
        <v>170</v>
      </c>
      <c r="M35" s="10" t="s">
        <v>185</v>
      </c>
      <c r="N35" s="84"/>
      <c r="O35" s="100"/>
      <c r="P35" s="125">
        <v>50</v>
      </c>
    </row>
    <row r="36" spans="2:16" x14ac:dyDescent="0.25">
      <c r="B36" s="12" t="s">
        <v>37</v>
      </c>
      <c r="C36" s="10" t="s">
        <v>86</v>
      </c>
      <c r="D36" s="5" t="s">
        <v>136</v>
      </c>
      <c r="E36" s="16" t="s">
        <v>35</v>
      </c>
      <c r="F36" s="30" t="s">
        <v>153</v>
      </c>
      <c r="G36" s="33">
        <v>3</v>
      </c>
      <c r="H36" s="27" t="s">
        <v>87</v>
      </c>
      <c r="I36" s="58" t="s">
        <v>89</v>
      </c>
      <c r="J36" s="7">
        <v>18500000</v>
      </c>
      <c r="K36" s="18">
        <v>44715</v>
      </c>
      <c r="L36" s="10" t="s">
        <v>167</v>
      </c>
      <c r="M36" s="10" t="s">
        <v>189</v>
      </c>
      <c r="N36" s="85"/>
      <c r="O36" s="101"/>
      <c r="P36" s="125">
        <v>50</v>
      </c>
    </row>
    <row r="37" spans="2:16" x14ac:dyDescent="0.25">
      <c r="B37" s="12" t="s">
        <v>37</v>
      </c>
      <c r="C37" s="42" t="s">
        <v>259</v>
      </c>
      <c r="D37" s="29" t="s">
        <v>353</v>
      </c>
      <c r="E37" s="16" t="s">
        <v>17</v>
      </c>
      <c r="F37" s="44" t="s">
        <v>260</v>
      </c>
      <c r="G37" s="41">
        <v>3</v>
      </c>
      <c r="H37" s="29" t="s">
        <v>261</v>
      </c>
      <c r="I37" s="65" t="s">
        <v>262</v>
      </c>
      <c r="J37" s="7">
        <v>19300000</v>
      </c>
      <c r="K37" s="32">
        <v>44838</v>
      </c>
      <c r="L37" s="10" t="s">
        <v>170</v>
      </c>
      <c r="M37" s="10" t="s">
        <v>383</v>
      </c>
      <c r="N37" s="84"/>
      <c r="O37" s="100"/>
      <c r="P37" s="125">
        <v>50</v>
      </c>
    </row>
    <row r="38" spans="2:16" x14ac:dyDescent="0.25">
      <c r="B38" s="12" t="s">
        <v>37</v>
      </c>
      <c r="C38" s="42" t="s">
        <v>255</v>
      </c>
      <c r="D38" s="29" t="s">
        <v>256</v>
      </c>
      <c r="E38" s="16" t="s">
        <v>17</v>
      </c>
      <c r="F38" s="44" t="s">
        <v>257</v>
      </c>
      <c r="G38" s="41">
        <v>1</v>
      </c>
      <c r="H38" s="29" t="s">
        <v>258</v>
      </c>
      <c r="I38" s="72">
        <v>1</v>
      </c>
      <c r="J38" s="7">
        <v>19317700</v>
      </c>
      <c r="K38" s="32">
        <v>44551</v>
      </c>
      <c r="L38" s="10" t="s">
        <v>168</v>
      </c>
      <c r="M38" s="10" t="s">
        <v>376</v>
      </c>
      <c r="N38" s="84"/>
      <c r="O38" s="100"/>
      <c r="P38" s="125">
        <v>50</v>
      </c>
    </row>
    <row r="39" spans="2:16" x14ac:dyDescent="0.25">
      <c r="B39" s="28" t="s">
        <v>70</v>
      </c>
      <c r="C39" s="42" t="s">
        <v>252</v>
      </c>
      <c r="D39" s="29" t="s">
        <v>135</v>
      </c>
      <c r="E39" s="36" t="s">
        <v>35</v>
      </c>
      <c r="F39" s="44" t="s">
        <v>253</v>
      </c>
      <c r="G39" s="41">
        <v>1</v>
      </c>
      <c r="H39" s="29" t="s">
        <v>254</v>
      </c>
      <c r="I39" s="65">
        <v>9</v>
      </c>
      <c r="J39" s="7">
        <v>20000000</v>
      </c>
      <c r="K39" s="32">
        <v>44854</v>
      </c>
      <c r="L39" s="10" t="s">
        <v>170</v>
      </c>
      <c r="M39" s="10" t="s">
        <v>366</v>
      </c>
      <c r="N39" s="84" t="s">
        <v>403</v>
      </c>
      <c r="O39" s="100"/>
      <c r="P39" s="125">
        <v>50</v>
      </c>
    </row>
    <row r="40" spans="2:16" x14ac:dyDescent="0.25">
      <c r="B40" s="12" t="s">
        <v>37</v>
      </c>
      <c r="C40" s="42" t="s">
        <v>249</v>
      </c>
      <c r="D40" s="29" t="s">
        <v>177</v>
      </c>
      <c r="E40" s="38" t="s">
        <v>35</v>
      </c>
      <c r="F40" s="29" t="s">
        <v>250</v>
      </c>
      <c r="G40" s="41">
        <v>1</v>
      </c>
      <c r="H40" s="29" t="s">
        <v>251</v>
      </c>
      <c r="I40" s="54">
        <v>13</v>
      </c>
      <c r="J40" s="7">
        <v>20518000</v>
      </c>
      <c r="K40" s="32">
        <v>44739</v>
      </c>
      <c r="L40" s="10" t="s">
        <v>167</v>
      </c>
      <c r="M40" s="10" t="s">
        <v>190</v>
      </c>
      <c r="N40" s="84"/>
      <c r="O40" s="100"/>
      <c r="P40" s="125">
        <v>50</v>
      </c>
    </row>
    <row r="41" spans="2:16" x14ac:dyDescent="0.25">
      <c r="B41" s="28" t="s">
        <v>70</v>
      </c>
      <c r="C41" s="10" t="s">
        <v>246</v>
      </c>
      <c r="D41" s="5" t="s">
        <v>354</v>
      </c>
      <c r="E41" s="38" t="s">
        <v>17</v>
      </c>
      <c r="F41" s="34" t="s">
        <v>247</v>
      </c>
      <c r="G41" s="33">
        <v>1</v>
      </c>
      <c r="H41" s="5" t="s">
        <v>248</v>
      </c>
      <c r="I41" s="54">
        <v>7</v>
      </c>
      <c r="J41" s="7">
        <v>21000000</v>
      </c>
      <c r="K41" s="32">
        <v>44859</v>
      </c>
      <c r="L41" s="10" t="s">
        <v>170</v>
      </c>
      <c r="M41" s="123" t="s">
        <v>406</v>
      </c>
      <c r="N41" s="84" t="s">
        <v>402</v>
      </c>
      <c r="O41" s="100"/>
      <c r="P41" s="125">
        <v>50</v>
      </c>
    </row>
    <row r="42" spans="2:16" x14ac:dyDescent="0.25">
      <c r="B42" s="12" t="s">
        <v>37</v>
      </c>
      <c r="C42" s="10" t="s">
        <v>242</v>
      </c>
      <c r="D42" s="5" t="s">
        <v>53</v>
      </c>
      <c r="E42" s="38" t="s">
        <v>35</v>
      </c>
      <c r="F42" s="34" t="s">
        <v>243</v>
      </c>
      <c r="G42" s="33">
        <v>4</v>
      </c>
      <c r="H42" s="5" t="s">
        <v>244</v>
      </c>
      <c r="I42" s="66" t="s">
        <v>245</v>
      </c>
      <c r="J42" s="7">
        <v>21015552</v>
      </c>
      <c r="K42" s="32">
        <v>44673</v>
      </c>
      <c r="L42" s="10" t="s">
        <v>167</v>
      </c>
      <c r="M42" s="10" t="s">
        <v>368</v>
      </c>
      <c r="N42" s="84"/>
      <c r="O42" s="100"/>
      <c r="P42" s="125">
        <v>50</v>
      </c>
    </row>
    <row r="43" spans="2:16" x14ac:dyDescent="0.25">
      <c r="B43" s="12" t="s">
        <v>37</v>
      </c>
      <c r="C43" s="10" t="s">
        <v>239</v>
      </c>
      <c r="D43" s="110" t="s">
        <v>53</v>
      </c>
      <c r="E43" s="37" t="s">
        <v>18</v>
      </c>
      <c r="F43" s="76" t="s">
        <v>240</v>
      </c>
      <c r="G43" s="114">
        <v>1</v>
      </c>
      <c r="H43" s="110" t="s">
        <v>241</v>
      </c>
      <c r="I43" s="59">
        <v>3</v>
      </c>
      <c r="J43" s="7">
        <v>21151014.23</v>
      </c>
      <c r="K43" s="32">
        <v>44641</v>
      </c>
      <c r="L43" s="10" t="s">
        <v>166</v>
      </c>
      <c r="M43" s="10" t="s">
        <v>185</v>
      </c>
      <c r="N43" s="84"/>
      <c r="O43" s="100"/>
      <c r="P43" s="125">
        <v>50</v>
      </c>
    </row>
    <row r="44" spans="2:16" x14ac:dyDescent="0.25">
      <c r="B44" s="12" t="s">
        <v>37</v>
      </c>
      <c r="C44" s="10" t="s">
        <v>236</v>
      </c>
      <c r="D44" s="35" t="s">
        <v>132</v>
      </c>
      <c r="E44" s="40" t="s">
        <v>18</v>
      </c>
      <c r="F44" s="29" t="s">
        <v>237</v>
      </c>
      <c r="G44" s="33">
        <v>3</v>
      </c>
      <c r="H44" s="5" t="s">
        <v>238</v>
      </c>
      <c r="I44" s="72">
        <v>1</v>
      </c>
      <c r="J44" s="7">
        <v>21429123</v>
      </c>
      <c r="K44" s="32">
        <v>44628</v>
      </c>
      <c r="L44" s="10" t="s">
        <v>166</v>
      </c>
      <c r="M44" s="10" t="s">
        <v>364</v>
      </c>
      <c r="N44" s="84"/>
      <c r="O44" s="100"/>
      <c r="P44" s="125">
        <v>50</v>
      </c>
    </row>
    <row r="45" spans="2:16" x14ac:dyDescent="0.25">
      <c r="B45" s="12" t="s">
        <v>37</v>
      </c>
      <c r="C45" s="10" t="s">
        <v>231</v>
      </c>
      <c r="D45" s="35" t="s">
        <v>232</v>
      </c>
      <c r="E45" s="39" t="s">
        <v>35</v>
      </c>
      <c r="F45" s="29" t="s">
        <v>233</v>
      </c>
      <c r="G45" s="33">
        <v>11</v>
      </c>
      <c r="H45" s="5" t="s">
        <v>234</v>
      </c>
      <c r="I45" s="58" t="s">
        <v>235</v>
      </c>
      <c r="J45" s="7">
        <v>21709000</v>
      </c>
      <c r="K45" s="32">
        <v>44599</v>
      </c>
      <c r="L45" s="10" t="s">
        <v>166</v>
      </c>
      <c r="M45" s="10" t="s">
        <v>187</v>
      </c>
      <c r="N45" s="84"/>
      <c r="O45" s="100"/>
      <c r="P45" s="125">
        <v>50</v>
      </c>
    </row>
    <row r="46" spans="2:16" x14ac:dyDescent="0.25">
      <c r="B46" s="12" t="s">
        <v>37</v>
      </c>
      <c r="C46" s="10" t="s">
        <v>228</v>
      </c>
      <c r="D46" s="35" t="s">
        <v>349</v>
      </c>
      <c r="E46" s="39" t="s">
        <v>35</v>
      </c>
      <c r="F46" s="29" t="s">
        <v>229</v>
      </c>
      <c r="G46" s="33">
        <v>1</v>
      </c>
      <c r="H46" s="5" t="s">
        <v>230</v>
      </c>
      <c r="I46" s="67">
        <v>1</v>
      </c>
      <c r="J46" s="7">
        <v>21752820</v>
      </c>
      <c r="K46" s="32">
        <v>44902</v>
      </c>
      <c r="L46" s="10" t="s">
        <v>170</v>
      </c>
      <c r="M46" s="10" t="s">
        <v>389</v>
      </c>
      <c r="N46" s="84"/>
      <c r="O46" s="100"/>
      <c r="P46" s="125">
        <v>50</v>
      </c>
    </row>
    <row r="47" spans="2:16" x14ac:dyDescent="0.25">
      <c r="B47" s="12" t="s">
        <v>37</v>
      </c>
      <c r="C47" s="10" t="s">
        <v>224</v>
      </c>
      <c r="D47" s="35" t="s">
        <v>225</v>
      </c>
      <c r="E47" s="39" t="s">
        <v>17</v>
      </c>
      <c r="F47" s="29" t="s">
        <v>226</v>
      </c>
      <c r="G47" s="33">
        <v>2</v>
      </c>
      <c r="H47" s="5" t="s">
        <v>227</v>
      </c>
      <c r="I47" s="54">
        <v>2</v>
      </c>
      <c r="J47" s="7">
        <v>22437884.300000001</v>
      </c>
      <c r="K47" s="32">
        <v>44694</v>
      </c>
      <c r="L47" s="10" t="s">
        <v>167</v>
      </c>
      <c r="M47" s="10" t="s">
        <v>369</v>
      </c>
      <c r="N47" s="84" t="s">
        <v>398</v>
      </c>
      <c r="O47" s="100"/>
      <c r="P47" s="125">
        <v>50</v>
      </c>
    </row>
    <row r="48" spans="2:16" x14ac:dyDescent="0.25">
      <c r="B48" s="12" t="s">
        <v>37</v>
      </c>
      <c r="C48" s="10" t="s">
        <v>222</v>
      </c>
      <c r="D48" s="35" t="s">
        <v>177</v>
      </c>
      <c r="E48" s="40" t="s">
        <v>18</v>
      </c>
      <c r="F48" s="29" t="s">
        <v>223</v>
      </c>
      <c r="G48" s="33">
        <v>1</v>
      </c>
      <c r="H48" s="5" t="s">
        <v>22</v>
      </c>
      <c r="I48" s="67">
        <v>1</v>
      </c>
      <c r="J48" s="7">
        <v>22654284.390000001</v>
      </c>
      <c r="K48" s="32">
        <v>44565</v>
      </c>
      <c r="L48" s="10" t="s">
        <v>166</v>
      </c>
      <c r="M48" s="10" t="s">
        <v>361</v>
      </c>
      <c r="N48" s="84"/>
      <c r="O48" s="100"/>
      <c r="P48" s="125">
        <v>50</v>
      </c>
    </row>
    <row r="49" spans="2:16" x14ac:dyDescent="0.25">
      <c r="B49" s="12" t="s">
        <v>37</v>
      </c>
      <c r="C49" s="10" t="s">
        <v>29</v>
      </c>
      <c r="D49" s="35" t="s">
        <v>132</v>
      </c>
      <c r="E49" s="39" t="s">
        <v>35</v>
      </c>
      <c r="F49" s="29" t="s">
        <v>36</v>
      </c>
      <c r="G49" s="33">
        <v>1</v>
      </c>
      <c r="H49" s="5" t="s">
        <v>22</v>
      </c>
      <c r="I49" s="68">
        <v>1</v>
      </c>
      <c r="J49" s="7">
        <v>23000000</v>
      </c>
      <c r="K49" s="32">
        <v>44741</v>
      </c>
      <c r="L49" s="10" t="s">
        <v>167</v>
      </c>
      <c r="M49" s="10" t="s">
        <v>185</v>
      </c>
      <c r="N49" s="84"/>
      <c r="O49" s="100"/>
      <c r="P49" s="125">
        <v>50</v>
      </c>
    </row>
    <row r="50" spans="2:16" x14ac:dyDescent="0.25">
      <c r="B50" s="28" t="s">
        <v>70</v>
      </c>
      <c r="C50" s="10" t="s">
        <v>219</v>
      </c>
      <c r="D50" s="35" t="s">
        <v>53</v>
      </c>
      <c r="E50" s="40" t="s">
        <v>18</v>
      </c>
      <c r="F50" s="29" t="s">
        <v>220</v>
      </c>
      <c r="G50" s="33">
        <v>1</v>
      </c>
      <c r="H50" s="5" t="s">
        <v>221</v>
      </c>
      <c r="I50" s="54">
        <v>5</v>
      </c>
      <c r="J50" s="7">
        <v>23049600</v>
      </c>
      <c r="K50" s="32">
        <v>44788</v>
      </c>
      <c r="L50" s="10" t="s">
        <v>169</v>
      </c>
      <c r="M50" s="10" t="s">
        <v>377</v>
      </c>
      <c r="N50" s="84" t="s">
        <v>405</v>
      </c>
      <c r="O50" s="100"/>
      <c r="P50" s="125">
        <v>50</v>
      </c>
    </row>
    <row r="51" spans="2:16" x14ac:dyDescent="0.25">
      <c r="B51" s="12" t="s">
        <v>37</v>
      </c>
      <c r="C51" s="10" t="s">
        <v>217</v>
      </c>
      <c r="D51" s="35" t="s">
        <v>132</v>
      </c>
      <c r="E51" s="39" t="s">
        <v>17</v>
      </c>
      <c r="F51" s="29" t="s">
        <v>218</v>
      </c>
      <c r="G51" s="33">
        <v>1</v>
      </c>
      <c r="H51" s="5" t="s">
        <v>22</v>
      </c>
      <c r="I51" s="67">
        <v>1</v>
      </c>
      <c r="J51" s="7">
        <v>25000000</v>
      </c>
      <c r="K51" s="32">
        <v>44743</v>
      </c>
      <c r="L51" s="10" t="s">
        <v>167</v>
      </c>
      <c r="M51" s="10" t="s">
        <v>184</v>
      </c>
      <c r="N51" s="84"/>
      <c r="O51" s="100"/>
      <c r="P51" s="125">
        <v>50</v>
      </c>
    </row>
    <row r="52" spans="2:16" x14ac:dyDescent="0.25">
      <c r="B52" s="12" t="s">
        <v>37</v>
      </c>
      <c r="C52" s="10" t="s">
        <v>214</v>
      </c>
      <c r="D52" s="35" t="s">
        <v>215</v>
      </c>
      <c r="E52" s="39" t="s">
        <v>17</v>
      </c>
      <c r="F52" s="29" t="s">
        <v>216</v>
      </c>
      <c r="G52" s="33">
        <v>2</v>
      </c>
      <c r="H52" s="5" t="s">
        <v>50</v>
      </c>
      <c r="I52" s="71">
        <v>1</v>
      </c>
      <c r="J52" s="7">
        <v>25376456.219999999</v>
      </c>
      <c r="K52" s="32">
        <v>44903</v>
      </c>
      <c r="L52" s="10" t="s">
        <v>170</v>
      </c>
      <c r="M52" s="10" t="s">
        <v>390</v>
      </c>
      <c r="N52" s="84"/>
      <c r="O52" s="100"/>
      <c r="P52" s="125">
        <v>50</v>
      </c>
    </row>
    <row r="53" spans="2:16" x14ac:dyDescent="0.25">
      <c r="B53" s="12" t="s">
        <v>37</v>
      </c>
      <c r="C53" s="106" t="s">
        <v>211</v>
      </c>
      <c r="D53" s="108" t="s">
        <v>110</v>
      </c>
      <c r="E53" s="39" t="s">
        <v>35</v>
      </c>
      <c r="F53" s="29" t="s">
        <v>212</v>
      </c>
      <c r="G53" s="33">
        <v>2</v>
      </c>
      <c r="H53" s="5" t="s">
        <v>213</v>
      </c>
      <c r="I53" s="54">
        <v>3</v>
      </c>
      <c r="J53" s="7">
        <v>25501040</v>
      </c>
      <c r="K53" s="32">
        <v>44516</v>
      </c>
      <c r="L53" s="10" t="s">
        <v>168</v>
      </c>
      <c r="M53" s="10" t="s">
        <v>363</v>
      </c>
      <c r="N53" s="84" t="s">
        <v>394</v>
      </c>
      <c r="O53" s="100"/>
      <c r="P53" s="125">
        <v>50</v>
      </c>
    </row>
    <row r="54" spans="2:16" x14ac:dyDescent="0.25">
      <c r="B54" s="47" t="s">
        <v>37</v>
      </c>
      <c r="C54" s="51" t="s">
        <v>208</v>
      </c>
      <c r="D54" s="49" t="s">
        <v>53</v>
      </c>
      <c r="E54" s="39" t="s">
        <v>35</v>
      </c>
      <c r="F54" s="29" t="s">
        <v>209</v>
      </c>
      <c r="G54" s="33">
        <v>2</v>
      </c>
      <c r="H54" s="5" t="s">
        <v>210</v>
      </c>
      <c r="I54" s="66">
        <v>3</v>
      </c>
      <c r="J54" s="7">
        <v>26149197.309999999</v>
      </c>
      <c r="K54" s="32">
        <v>44862</v>
      </c>
      <c r="L54" s="10" t="s">
        <v>170</v>
      </c>
      <c r="M54" s="10" t="s">
        <v>187</v>
      </c>
      <c r="N54" s="84"/>
      <c r="O54" s="100"/>
      <c r="P54" s="125">
        <v>50</v>
      </c>
    </row>
    <row r="55" spans="2:16" x14ac:dyDescent="0.25">
      <c r="B55" s="47" t="s">
        <v>37</v>
      </c>
      <c r="C55" s="53" t="s">
        <v>205</v>
      </c>
      <c r="D55" s="49" t="s">
        <v>132</v>
      </c>
      <c r="E55" s="40" t="s">
        <v>18</v>
      </c>
      <c r="F55" s="27" t="s">
        <v>206</v>
      </c>
      <c r="G55" s="33">
        <v>1</v>
      </c>
      <c r="H55" s="5" t="s">
        <v>207</v>
      </c>
      <c r="I55" s="65">
        <v>6</v>
      </c>
      <c r="J55" s="7">
        <v>26400000</v>
      </c>
      <c r="K55" s="32">
        <v>44683</v>
      </c>
      <c r="L55" s="10" t="s">
        <v>167</v>
      </c>
      <c r="M55" s="10" t="s">
        <v>190</v>
      </c>
      <c r="N55" s="84"/>
      <c r="O55" s="100"/>
      <c r="P55" s="125">
        <v>50</v>
      </c>
    </row>
    <row r="56" spans="2:16" x14ac:dyDescent="0.25">
      <c r="B56" s="47" t="s">
        <v>37</v>
      </c>
      <c r="C56" s="51" t="s">
        <v>199</v>
      </c>
      <c r="D56" s="49" t="s">
        <v>134</v>
      </c>
      <c r="E56" s="39" t="s">
        <v>35</v>
      </c>
      <c r="F56" s="5" t="s">
        <v>200</v>
      </c>
      <c r="G56" s="33">
        <v>42</v>
      </c>
      <c r="H56" s="5" t="s">
        <v>201</v>
      </c>
      <c r="I56" s="67" t="s">
        <v>202</v>
      </c>
      <c r="J56" s="7">
        <v>26810065.210000001</v>
      </c>
      <c r="K56" s="32">
        <v>44712</v>
      </c>
      <c r="L56" s="10" t="s">
        <v>167</v>
      </c>
      <c r="M56" s="10" t="s">
        <v>374</v>
      </c>
      <c r="N56" s="84"/>
      <c r="O56" s="100"/>
      <c r="P56" s="125">
        <v>50</v>
      </c>
    </row>
    <row r="57" spans="2:16" x14ac:dyDescent="0.25">
      <c r="B57" s="47" t="s">
        <v>37</v>
      </c>
      <c r="C57" s="52" t="s">
        <v>195</v>
      </c>
      <c r="D57" s="49" t="s">
        <v>111</v>
      </c>
      <c r="E57" s="39" t="s">
        <v>35</v>
      </c>
      <c r="F57" s="5" t="s">
        <v>196</v>
      </c>
      <c r="G57" s="33">
        <v>6</v>
      </c>
      <c r="H57" s="5" t="s">
        <v>197</v>
      </c>
      <c r="I57" s="54" t="s">
        <v>198</v>
      </c>
      <c r="J57" s="7">
        <v>27000000</v>
      </c>
      <c r="K57" s="32">
        <v>44841</v>
      </c>
      <c r="L57" s="10" t="s">
        <v>170</v>
      </c>
      <c r="M57" s="9" t="s">
        <v>190</v>
      </c>
      <c r="N57" s="84"/>
      <c r="O57" s="100"/>
      <c r="P57" s="125">
        <v>50</v>
      </c>
    </row>
    <row r="58" spans="2:16" x14ac:dyDescent="0.25">
      <c r="B58" s="47" t="s">
        <v>37</v>
      </c>
      <c r="C58" s="52" t="s">
        <v>104</v>
      </c>
      <c r="D58" s="49" t="s">
        <v>105</v>
      </c>
      <c r="E58" s="39" t="s">
        <v>17</v>
      </c>
      <c r="F58" s="27" t="s">
        <v>152</v>
      </c>
      <c r="G58" s="33">
        <v>2</v>
      </c>
      <c r="H58" s="5" t="s">
        <v>106</v>
      </c>
      <c r="I58" s="67">
        <v>1</v>
      </c>
      <c r="J58" s="7">
        <v>28000000</v>
      </c>
      <c r="K58" s="18">
        <v>44725</v>
      </c>
      <c r="L58" s="10" t="s">
        <v>167</v>
      </c>
      <c r="M58" s="10" t="s">
        <v>372</v>
      </c>
      <c r="N58" s="85"/>
      <c r="O58" s="101"/>
      <c r="P58" s="125">
        <v>50</v>
      </c>
    </row>
    <row r="59" spans="2:16" x14ac:dyDescent="0.25">
      <c r="B59" s="46" t="s">
        <v>70</v>
      </c>
      <c r="C59" s="50" t="s">
        <v>179</v>
      </c>
      <c r="D59" s="49" t="s">
        <v>181</v>
      </c>
      <c r="E59" s="39" t="s">
        <v>35</v>
      </c>
      <c r="F59" s="5" t="s">
        <v>180</v>
      </c>
      <c r="G59" s="33">
        <v>1</v>
      </c>
      <c r="H59" s="5" t="s">
        <v>113</v>
      </c>
      <c r="I59" s="54">
        <v>3</v>
      </c>
      <c r="J59" s="7">
        <v>28214305</v>
      </c>
      <c r="K59" s="32">
        <v>44817</v>
      </c>
      <c r="L59" s="10" t="s">
        <v>175</v>
      </c>
      <c r="M59" s="10" t="s">
        <v>381</v>
      </c>
      <c r="N59" s="84" t="s">
        <v>401</v>
      </c>
      <c r="O59" s="100"/>
      <c r="P59" s="125">
        <v>50</v>
      </c>
    </row>
    <row r="60" spans="2:16" x14ac:dyDescent="0.25">
      <c r="B60" s="46" t="s">
        <v>70</v>
      </c>
      <c r="C60" s="51" t="s">
        <v>141</v>
      </c>
      <c r="D60" s="49" t="s">
        <v>143</v>
      </c>
      <c r="E60" s="39" t="s">
        <v>17</v>
      </c>
      <c r="F60" s="27" t="s">
        <v>165</v>
      </c>
      <c r="G60" s="33">
        <v>4</v>
      </c>
      <c r="H60" s="5" t="s">
        <v>142</v>
      </c>
      <c r="I60" s="119" t="s">
        <v>144</v>
      </c>
      <c r="J60" s="7">
        <v>31086651.199999999</v>
      </c>
      <c r="K60" s="18">
        <v>44740</v>
      </c>
      <c r="L60" s="10" t="s">
        <v>169</v>
      </c>
      <c r="M60" s="10" t="s">
        <v>371</v>
      </c>
      <c r="N60" s="84" t="s">
        <v>405</v>
      </c>
      <c r="O60" s="100"/>
      <c r="P60" s="124">
        <v>75</v>
      </c>
    </row>
    <row r="61" spans="2:16" x14ac:dyDescent="0.25">
      <c r="B61" s="47" t="s">
        <v>37</v>
      </c>
      <c r="C61" s="53" t="s">
        <v>128</v>
      </c>
      <c r="D61" s="49" t="s">
        <v>134</v>
      </c>
      <c r="E61" s="39" t="s">
        <v>17</v>
      </c>
      <c r="F61" s="27" t="s">
        <v>129</v>
      </c>
      <c r="G61" s="33">
        <v>1</v>
      </c>
      <c r="H61" s="5" t="s">
        <v>22</v>
      </c>
      <c r="I61" s="72">
        <v>1</v>
      </c>
      <c r="J61" s="7">
        <v>32322964.050000001</v>
      </c>
      <c r="K61" s="18">
        <v>44683</v>
      </c>
      <c r="L61" s="10" t="s">
        <v>167</v>
      </c>
      <c r="M61" s="10" t="s">
        <v>193</v>
      </c>
      <c r="N61" s="85" t="s">
        <v>399</v>
      </c>
      <c r="O61" s="101"/>
      <c r="P61" s="124">
        <v>75</v>
      </c>
    </row>
    <row r="62" spans="2:16" x14ac:dyDescent="0.25">
      <c r="B62" s="46" t="s">
        <v>70</v>
      </c>
      <c r="C62" s="52" t="s">
        <v>119</v>
      </c>
      <c r="D62" s="49" t="s">
        <v>134</v>
      </c>
      <c r="E62" s="39" t="s">
        <v>35</v>
      </c>
      <c r="F62" s="27" t="s">
        <v>161</v>
      </c>
      <c r="G62" s="33">
        <v>61</v>
      </c>
      <c r="H62" s="5" t="s">
        <v>120</v>
      </c>
      <c r="I62" s="58" t="s">
        <v>83</v>
      </c>
      <c r="J62" s="7">
        <v>34901241</v>
      </c>
      <c r="K62" s="18">
        <v>44865</v>
      </c>
      <c r="L62" s="10" t="s">
        <v>170</v>
      </c>
      <c r="M62" s="10" t="s">
        <v>193</v>
      </c>
      <c r="N62" s="85"/>
      <c r="O62" s="101"/>
      <c r="P62" s="124">
        <v>75</v>
      </c>
    </row>
    <row r="63" spans="2:16" x14ac:dyDescent="0.25">
      <c r="B63" s="47" t="s">
        <v>37</v>
      </c>
      <c r="C63" s="50" t="s">
        <v>115</v>
      </c>
      <c r="D63" s="49" t="s">
        <v>134</v>
      </c>
      <c r="E63" s="39" t="s">
        <v>35</v>
      </c>
      <c r="F63" s="27" t="s">
        <v>157</v>
      </c>
      <c r="G63" s="33">
        <v>60</v>
      </c>
      <c r="H63" s="5" t="s">
        <v>116</v>
      </c>
      <c r="I63" s="117" t="s">
        <v>117</v>
      </c>
      <c r="J63" s="7">
        <v>36398500</v>
      </c>
      <c r="K63" s="18">
        <v>44502</v>
      </c>
      <c r="L63" s="10" t="s">
        <v>168</v>
      </c>
      <c r="M63" s="123" t="s">
        <v>406</v>
      </c>
      <c r="N63" s="85" t="s">
        <v>393</v>
      </c>
      <c r="O63" s="101"/>
      <c r="P63" s="124">
        <v>75</v>
      </c>
    </row>
    <row r="64" spans="2:16" x14ac:dyDescent="0.25">
      <c r="B64" s="47" t="s">
        <v>37</v>
      </c>
      <c r="C64" s="51" t="s">
        <v>112</v>
      </c>
      <c r="D64" s="49" t="s">
        <v>110</v>
      </c>
      <c r="E64" s="39" t="s">
        <v>35</v>
      </c>
      <c r="F64" s="27" t="s">
        <v>149</v>
      </c>
      <c r="G64" s="33">
        <v>1</v>
      </c>
      <c r="H64" s="5" t="s">
        <v>113</v>
      </c>
      <c r="I64" s="118">
        <v>7</v>
      </c>
      <c r="J64" s="7">
        <v>36430309</v>
      </c>
      <c r="K64" s="18">
        <v>44573</v>
      </c>
      <c r="L64" s="10" t="s">
        <v>166</v>
      </c>
      <c r="M64" s="9" t="s">
        <v>190</v>
      </c>
      <c r="N64" s="85"/>
      <c r="O64" s="101"/>
      <c r="P64" s="124">
        <v>75</v>
      </c>
    </row>
    <row r="65" spans="2:16" x14ac:dyDescent="0.25">
      <c r="B65" s="33" t="s">
        <v>5</v>
      </c>
      <c r="C65" s="53" t="s">
        <v>108</v>
      </c>
      <c r="D65" s="49" t="s">
        <v>110</v>
      </c>
      <c r="E65" s="39" t="s">
        <v>35</v>
      </c>
      <c r="F65" s="27" t="s">
        <v>163</v>
      </c>
      <c r="G65" s="33">
        <v>1</v>
      </c>
      <c r="H65" s="5" t="s">
        <v>16</v>
      </c>
      <c r="I65" s="59">
        <v>2</v>
      </c>
      <c r="J65" s="7">
        <v>38505780</v>
      </c>
      <c r="K65" s="18">
        <v>44873</v>
      </c>
      <c r="L65" s="10" t="s">
        <v>170</v>
      </c>
      <c r="M65" s="10" t="s">
        <v>186</v>
      </c>
      <c r="N65" s="85"/>
      <c r="O65" s="101"/>
      <c r="P65" s="124">
        <v>75</v>
      </c>
    </row>
    <row r="66" spans="2:16" x14ac:dyDescent="0.25">
      <c r="B66" s="33" t="s">
        <v>5</v>
      </c>
      <c r="C66" s="104" t="s">
        <v>102</v>
      </c>
      <c r="D66" s="49" t="s">
        <v>110</v>
      </c>
      <c r="E66" s="39" t="s">
        <v>35</v>
      </c>
      <c r="F66" s="27" t="s">
        <v>162</v>
      </c>
      <c r="G66" s="33">
        <v>1</v>
      </c>
      <c r="H66" s="5" t="s">
        <v>16</v>
      </c>
      <c r="I66" s="65">
        <v>2</v>
      </c>
      <c r="J66" s="7">
        <v>39392810</v>
      </c>
      <c r="K66" s="18">
        <v>44873</v>
      </c>
      <c r="L66" s="10" t="s">
        <v>170</v>
      </c>
      <c r="M66" s="10" t="s">
        <v>186</v>
      </c>
      <c r="N66" s="85"/>
      <c r="O66" s="101"/>
      <c r="P66" s="124">
        <v>75</v>
      </c>
    </row>
    <row r="67" spans="2:16" x14ac:dyDescent="0.25">
      <c r="B67" s="47" t="s">
        <v>37</v>
      </c>
      <c r="C67" s="53" t="s">
        <v>98</v>
      </c>
      <c r="D67" s="49" t="s">
        <v>139</v>
      </c>
      <c r="E67" s="39" t="s">
        <v>35</v>
      </c>
      <c r="F67" s="27" t="s">
        <v>99</v>
      </c>
      <c r="G67" s="33">
        <v>1</v>
      </c>
      <c r="H67" s="5" t="s">
        <v>100</v>
      </c>
      <c r="I67" s="77">
        <v>4</v>
      </c>
      <c r="J67" s="7">
        <v>40000000</v>
      </c>
      <c r="K67" s="18">
        <v>44551</v>
      </c>
      <c r="L67" s="10" t="s">
        <v>168</v>
      </c>
      <c r="M67" s="10" t="s">
        <v>192</v>
      </c>
      <c r="N67" s="85"/>
      <c r="O67" s="101"/>
      <c r="P67" s="124">
        <v>75</v>
      </c>
    </row>
    <row r="68" spans="2:16" x14ac:dyDescent="0.25">
      <c r="B68" s="46" t="s">
        <v>70</v>
      </c>
      <c r="C68" s="52" t="s">
        <v>95</v>
      </c>
      <c r="D68" s="49" t="s">
        <v>53</v>
      </c>
      <c r="E68" s="39" t="s">
        <v>17</v>
      </c>
      <c r="F68" s="5" t="s">
        <v>160</v>
      </c>
      <c r="G68" s="33">
        <v>4</v>
      </c>
      <c r="H68" s="27" t="s">
        <v>96</v>
      </c>
      <c r="I68" s="120" t="s">
        <v>204</v>
      </c>
      <c r="J68" s="7">
        <v>44891452.079999998</v>
      </c>
      <c r="K68" s="18">
        <v>44859</v>
      </c>
      <c r="L68" s="10" t="s">
        <v>170</v>
      </c>
      <c r="M68" s="10" t="s">
        <v>185</v>
      </c>
      <c r="N68" s="85"/>
      <c r="O68" s="101"/>
      <c r="P68" s="124">
        <v>75</v>
      </c>
    </row>
    <row r="69" spans="2:16" x14ac:dyDescent="0.25">
      <c r="B69" s="33" t="s">
        <v>5</v>
      </c>
      <c r="C69" s="50" t="s">
        <v>94</v>
      </c>
      <c r="D69" s="49" t="s">
        <v>138</v>
      </c>
      <c r="E69" s="39" t="s">
        <v>17</v>
      </c>
      <c r="F69" s="27" t="s">
        <v>164</v>
      </c>
      <c r="G69" s="33">
        <v>1</v>
      </c>
      <c r="H69" s="5" t="s">
        <v>76</v>
      </c>
      <c r="I69" s="66">
        <v>2</v>
      </c>
      <c r="J69" s="7">
        <v>45000000</v>
      </c>
      <c r="K69" s="18">
        <v>44918</v>
      </c>
      <c r="L69" s="10" t="s">
        <v>171</v>
      </c>
      <c r="M69" s="10" t="s">
        <v>191</v>
      </c>
      <c r="N69" s="85"/>
      <c r="O69" s="101"/>
      <c r="P69" s="124">
        <v>75</v>
      </c>
    </row>
    <row r="70" spans="2:16" x14ac:dyDescent="0.25">
      <c r="B70" s="47" t="s">
        <v>37</v>
      </c>
      <c r="C70" s="51" t="s">
        <v>90</v>
      </c>
      <c r="D70" s="107" t="s">
        <v>110</v>
      </c>
      <c r="E70" s="39" t="s">
        <v>35</v>
      </c>
      <c r="F70" s="5" t="s">
        <v>148</v>
      </c>
      <c r="G70" s="33">
        <v>1</v>
      </c>
      <c r="H70" s="27" t="s">
        <v>91</v>
      </c>
      <c r="I70" s="59">
        <v>7</v>
      </c>
      <c r="J70" s="7">
        <v>45628400</v>
      </c>
      <c r="K70" s="18">
        <v>44573</v>
      </c>
      <c r="L70" s="10" t="s">
        <v>166</v>
      </c>
      <c r="M70" s="10" t="s">
        <v>190</v>
      </c>
      <c r="N70" s="85"/>
      <c r="O70" s="101"/>
      <c r="P70" s="124">
        <v>75</v>
      </c>
    </row>
    <row r="71" spans="2:16" x14ac:dyDescent="0.25">
      <c r="B71" s="47" t="s">
        <v>37</v>
      </c>
      <c r="C71" s="53" t="s">
        <v>78</v>
      </c>
      <c r="D71" s="107" t="s">
        <v>53</v>
      </c>
      <c r="E71" s="39" t="s">
        <v>17</v>
      </c>
      <c r="F71" s="35" t="s">
        <v>150</v>
      </c>
      <c r="G71" s="33">
        <v>4</v>
      </c>
      <c r="H71" s="5" t="s">
        <v>79</v>
      </c>
      <c r="I71" s="70">
        <v>1</v>
      </c>
      <c r="J71" s="73">
        <v>46297742.5</v>
      </c>
      <c r="K71" s="18">
        <v>44581</v>
      </c>
      <c r="L71" s="79" t="s">
        <v>166</v>
      </c>
      <c r="M71" s="10" t="s">
        <v>185</v>
      </c>
      <c r="N71" s="85"/>
      <c r="O71" s="101"/>
      <c r="P71" s="124">
        <v>75</v>
      </c>
    </row>
    <row r="72" spans="2:16" x14ac:dyDescent="0.25">
      <c r="B72" s="46" t="s">
        <v>70</v>
      </c>
      <c r="C72" s="52" t="s">
        <v>75</v>
      </c>
      <c r="D72" s="49" t="s">
        <v>122</v>
      </c>
      <c r="E72" s="39" t="s">
        <v>17</v>
      </c>
      <c r="F72" s="35" t="s">
        <v>159</v>
      </c>
      <c r="G72" s="113">
        <v>2</v>
      </c>
      <c r="H72" s="5" t="s">
        <v>76</v>
      </c>
      <c r="I72" s="60">
        <v>1</v>
      </c>
      <c r="J72" s="7">
        <v>51700000</v>
      </c>
      <c r="K72" s="18">
        <v>44897</v>
      </c>
      <c r="L72" s="10" t="s">
        <v>170</v>
      </c>
      <c r="M72" s="10" t="s">
        <v>374</v>
      </c>
      <c r="N72" s="85"/>
      <c r="O72" s="101"/>
      <c r="P72" s="124">
        <v>75</v>
      </c>
    </row>
    <row r="73" spans="2:16" x14ac:dyDescent="0.25">
      <c r="B73" s="46" t="s">
        <v>70</v>
      </c>
      <c r="C73" s="50" t="s">
        <v>72</v>
      </c>
      <c r="D73" s="49" t="s">
        <v>140</v>
      </c>
      <c r="E73" s="39" t="s">
        <v>17</v>
      </c>
      <c r="F73" s="35" t="s">
        <v>156</v>
      </c>
      <c r="G73" s="33">
        <v>7</v>
      </c>
      <c r="H73" s="5" t="s">
        <v>73</v>
      </c>
      <c r="I73" s="64">
        <v>3</v>
      </c>
      <c r="J73" s="7">
        <v>51940039.670000002</v>
      </c>
      <c r="K73" s="18">
        <v>44785</v>
      </c>
      <c r="L73" s="10" t="s">
        <v>169</v>
      </c>
      <c r="M73" s="10" t="s">
        <v>377</v>
      </c>
      <c r="N73" s="84" t="s">
        <v>405</v>
      </c>
      <c r="O73" s="100"/>
      <c r="P73" s="124">
        <v>75</v>
      </c>
    </row>
    <row r="74" spans="2:16" x14ac:dyDescent="0.25">
      <c r="B74" s="47" t="s">
        <v>37</v>
      </c>
      <c r="C74" s="51" t="s">
        <v>66</v>
      </c>
      <c r="D74" s="49" t="s">
        <v>131</v>
      </c>
      <c r="E74" s="39" t="s">
        <v>35</v>
      </c>
      <c r="F74" s="35" t="s">
        <v>67</v>
      </c>
      <c r="G74" s="33">
        <v>2</v>
      </c>
      <c r="H74" s="5" t="s">
        <v>68</v>
      </c>
      <c r="I74" s="61">
        <v>3</v>
      </c>
      <c r="J74" s="7">
        <v>52000000</v>
      </c>
      <c r="K74" s="18">
        <v>44666</v>
      </c>
      <c r="L74" s="10" t="s">
        <v>167</v>
      </c>
      <c r="M74" s="10" t="s">
        <v>367</v>
      </c>
      <c r="N74" s="84" t="s">
        <v>405</v>
      </c>
      <c r="O74" s="100"/>
      <c r="P74" s="124">
        <v>75</v>
      </c>
    </row>
    <row r="75" spans="2:16" x14ac:dyDescent="0.25">
      <c r="B75" s="47" t="s">
        <v>37</v>
      </c>
      <c r="C75" s="53" t="s">
        <v>63</v>
      </c>
      <c r="D75" s="49" t="s">
        <v>137</v>
      </c>
      <c r="E75" s="39" t="s">
        <v>35</v>
      </c>
      <c r="F75" s="5" t="s">
        <v>147</v>
      </c>
      <c r="G75" s="33">
        <v>7</v>
      </c>
      <c r="H75" s="5" t="s">
        <v>64</v>
      </c>
      <c r="I75" s="54" t="s">
        <v>85</v>
      </c>
      <c r="J75" s="7">
        <v>53047653.509999998</v>
      </c>
      <c r="K75" s="18">
        <v>44634</v>
      </c>
      <c r="L75" s="10" t="s">
        <v>166</v>
      </c>
      <c r="M75" s="10" t="s">
        <v>188</v>
      </c>
      <c r="N75" s="85"/>
      <c r="O75" s="101"/>
      <c r="P75" s="124">
        <v>75</v>
      </c>
    </row>
    <row r="76" spans="2:16" x14ac:dyDescent="0.25">
      <c r="B76" s="47" t="s">
        <v>37</v>
      </c>
      <c r="C76" s="52" t="s">
        <v>7</v>
      </c>
      <c r="D76" s="49" t="s">
        <v>111</v>
      </c>
      <c r="E76" s="39" t="s">
        <v>17</v>
      </c>
      <c r="F76" s="35" t="s">
        <v>151</v>
      </c>
      <c r="G76" s="33">
        <v>13</v>
      </c>
      <c r="H76" s="5" t="s">
        <v>3</v>
      </c>
      <c r="I76" s="63" t="s">
        <v>84</v>
      </c>
      <c r="J76" s="7">
        <v>58000000</v>
      </c>
      <c r="K76" s="18">
        <v>44648</v>
      </c>
      <c r="L76" s="10" t="s">
        <v>166</v>
      </c>
      <c r="M76" s="10" t="s">
        <v>187</v>
      </c>
      <c r="N76" s="85"/>
      <c r="O76" s="101"/>
      <c r="P76" s="124">
        <v>75</v>
      </c>
    </row>
    <row r="77" spans="2:16" x14ac:dyDescent="0.25">
      <c r="B77" s="46" t="s">
        <v>70</v>
      </c>
      <c r="C77" s="50" t="s">
        <v>15</v>
      </c>
      <c r="D77" s="49" t="s">
        <v>110</v>
      </c>
      <c r="E77" s="39" t="s">
        <v>35</v>
      </c>
      <c r="F77" s="5" t="s">
        <v>60</v>
      </c>
      <c r="G77" s="33">
        <v>1</v>
      </c>
      <c r="H77" s="5" t="s">
        <v>16</v>
      </c>
      <c r="I77" s="59">
        <v>2</v>
      </c>
      <c r="J77" s="7">
        <v>71873430</v>
      </c>
      <c r="K77" s="18">
        <v>44873</v>
      </c>
      <c r="L77" s="10" t="s">
        <v>170</v>
      </c>
      <c r="M77" s="10" t="s">
        <v>186</v>
      </c>
      <c r="N77" s="85"/>
      <c r="O77" s="101"/>
      <c r="P77" s="124">
        <v>75</v>
      </c>
    </row>
    <row r="78" spans="2:16" x14ac:dyDescent="0.25">
      <c r="B78" s="46" t="s">
        <v>70</v>
      </c>
      <c r="C78" s="51" t="s">
        <v>14</v>
      </c>
      <c r="D78" s="49" t="s">
        <v>12</v>
      </c>
      <c r="E78" s="39" t="s">
        <v>35</v>
      </c>
      <c r="F78" s="5" t="s">
        <v>158</v>
      </c>
      <c r="G78" s="33">
        <v>6</v>
      </c>
      <c r="H78" s="5" t="s">
        <v>13</v>
      </c>
      <c r="I78" s="58" t="s">
        <v>83</v>
      </c>
      <c r="J78" s="7">
        <v>73728000</v>
      </c>
      <c r="K78" s="18">
        <v>44914</v>
      </c>
      <c r="L78" s="10" t="s">
        <v>170</v>
      </c>
      <c r="M78" s="10" t="s">
        <v>390</v>
      </c>
      <c r="N78" s="85"/>
      <c r="O78" s="101"/>
      <c r="P78" s="124">
        <v>75</v>
      </c>
    </row>
    <row r="79" spans="2:16" x14ac:dyDescent="0.25">
      <c r="B79" s="47" t="s">
        <v>37</v>
      </c>
      <c r="C79" s="53" t="s">
        <v>56</v>
      </c>
      <c r="D79" s="49" t="s">
        <v>123</v>
      </c>
      <c r="E79" s="39" t="s">
        <v>17</v>
      </c>
      <c r="F79" s="5" t="s">
        <v>155</v>
      </c>
      <c r="G79" s="33">
        <v>10</v>
      </c>
      <c r="H79" s="5" t="s">
        <v>57</v>
      </c>
      <c r="I79" s="65" t="s">
        <v>82</v>
      </c>
      <c r="J79" s="7">
        <v>80856254.400000006</v>
      </c>
      <c r="K79" s="18">
        <v>44698</v>
      </c>
      <c r="L79" s="10" t="s">
        <v>167</v>
      </c>
      <c r="M79" s="10" t="s">
        <v>371</v>
      </c>
      <c r="N79" s="84" t="s">
        <v>405</v>
      </c>
      <c r="O79" s="100"/>
      <c r="P79" s="124">
        <v>75</v>
      </c>
    </row>
    <row r="80" spans="2:16" x14ac:dyDescent="0.25">
      <c r="B80" s="47" t="s">
        <v>37</v>
      </c>
      <c r="C80" s="52" t="s">
        <v>52</v>
      </c>
      <c r="D80" s="49" t="s">
        <v>53</v>
      </c>
      <c r="E80" s="39" t="s">
        <v>35</v>
      </c>
      <c r="F80" s="5" t="s">
        <v>154</v>
      </c>
      <c r="G80" s="33">
        <v>7</v>
      </c>
      <c r="H80" s="5" t="s">
        <v>54</v>
      </c>
      <c r="I80" s="66" t="s">
        <v>203</v>
      </c>
      <c r="J80" s="7">
        <v>89735486.400000006</v>
      </c>
      <c r="K80" s="18">
        <v>44740</v>
      </c>
      <c r="L80" s="10" t="s">
        <v>167</v>
      </c>
      <c r="M80" s="10" t="s">
        <v>185</v>
      </c>
      <c r="N80" s="85"/>
      <c r="O80" s="101"/>
      <c r="P80" s="124">
        <v>75</v>
      </c>
    </row>
    <row r="81" spans="2:16" x14ac:dyDescent="0.25">
      <c r="B81" s="46" t="s">
        <v>70</v>
      </c>
      <c r="C81" s="53" t="s">
        <v>48</v>
      </c>
      <c r="D81" s="49" t="s">
        <v>123</v>
      </c>
      <c r="E81" s="39" t="s">
        <v>17</v>
      </c>
      <c r="F81" s="5" t="s">
        <v>49</v>
      </c>
      <c r="G81" s="33">
        <v>4</v>
      </c>
      <c r="H81" s="5" t="s">
        <v>50</v>
      </c>
      <c r="I81" s="59">
        <v>2</v>
      </c>
      <c r="J81" s="7">
        <v>160691476</v>
      </c>
      <c r="K81" s="18">
        <v>44887</v>
      </c>
      <c r="L81" s="10" t="s">
        <v>170</v>
      </c>
      <c r="M81" s="9" t="s">
        <v>184</v>
      </c>
      <c r="N81" s="85"/>
      <c r="O81" s="101"/>
      <c r="P81" s="124">
        <v>75</v>
      </c>
    </row>
    <row r="82" spans="2:16" x14ac:dyDescent="0.25">
      <c r="B82" s="46" t="s">
        <v>70</v>
      </c>
      <c r="C82" s="75" t="s">
        <v>172</v>
      </c>
      <c r="D82" s="49" t="s">
        <v>177</v>
      </c>
      <c r="E82" s="39" t="s">
        <v>35</v>
      </c>
      <c r="F82" s="5" t="s">
        <v>173</v>
      </c>
      <c r="G82" s="33">
        <v>1</v>
      </c>
      <c r="H82" s="5" t="s">
        <v>174</v>
      </c>
      <c r="I82" s="64">
        <v>6</v>
      </c>
      <c r="J82" s="7">
        <v>207983193.27000001</v>
      </c>
      <c r="K82" s="32">
        <v>44790</v>
      </c>
      <c r="L82" s="10" t="s">
        <v>175</v>
      </c>
      <c r="M82" s="10" t="s">
        <v>194</v>
      </c>
      <c r="N82" s="84"/>
      <c r="O82" s="100"/>
      <c r="P82" s="124">
        <v>75</v>
      </c>
    </row>
    <row r="83" spans="2:16" x14ac:dyDescent="0.25">
      <c r="B83" s="47" t="s">
        <v>37</v>
      </c>
      <c r="C83" s="75" t="s">
        <v>41</v>
      </c>
      <c r="D83" s="49" t="s">
        <v>135</v>
      </c>
      <c r="E83" s="39" t="s">
        <v>35</v>
      </c>
      <c r="F83" s="5" t="s">
        <v>42</v>
      </c>
      <c r="G83" s="33">
        <v>2</v>
      </c>
      <c r="H83" s="5" t="s">
        <v>127</v>
      </c>
      <c r="I83" s="64">
        <v>9</v>
      </c>
      <c r="J83" s="7">
        <v>227500000</v>
      </c>
      <c r="K83" s="18">
        <v>44599</v>
      </c>
      <c r="L83" s="10" t="s">
        <v>166</v>
      </c>
      <c r="M83" s="10" t="s">
        <v>366</v>
      </c>
      <c r="N83" s="85" t="s">
        <v>397</v>
      </c>
      <c r="O83" s="101"/>
      <c r="P83" s="124">
        <v>75</v>
      </c>
    </row>
    <row r="84" spans="2:16" x14ac:dyDescent="0.25">
      <c r="B84" s="47" t="s">
        <v>37</v>
      </c>
      <c r="C84" s="105" t="s">
        <v>38</v>
      </c>
      <c r="D84" s="48" t="s">
        <v>111</v>
      </c>
      <c r="E84" s="39" t="s">
        <v>35</v>
      </c>
      <c r="F84" s="29" t="s">
        <v>39</v>
      </c>
      <c r="G84" s="33">
        <v>1</v>
      </c>
      <c r="H84" s="29" t="s">
        <v>40</v>
      </c>
      <c r="I84" s="65">
        <v>15</v>
      </c>
      <c r="J84" s="7">
        <v>248100000</v>
      </c>
      <c r="K84" s="45">
        <v>44616</v>
      </c>
      <c r="L84" s="10" t="s">
        <v>166</v>
      </c>
      <c r="M84" s="10" t="s">
        <v>183</v>
      </c>
      <c r="N84" s="86"/>
      <c r="O84" s="99"/>
      <c r="P84" s="124">
        <v>75</v>
      </c>
    </row>
    <row r="85" spans="2:16" x14ac:dyDescent="0.25">
      <c r="N85" s="80" t="s">
        <v>20</v>
      </c>
      <c r="O85" s="102"/>
    </row>
  </sheetData>
  <autoFilter ref="B6:P82" xr:uid="{00000000-0001-0000-0000-000000000000}">
    <sortState xmlns:xlrd2="http://schemas.microsoft.com/office/spreadsheetml/2017/richdata2" ref="B8:P85">
      <sortCondition ref="J6:J82"/>
    </sortState>
  </autoFilter>
  <mergeCells count="15">
    <mergeCell ref="P5:P6"/>
    <mergeCell ref="M5:M6"/>
    <mergeCell ref="F5:F6"/>
    <mergeCell ref="G5:G6"/>
    <mergeCell ref="A1:C4"/>
    <mergeCell ref="B5:B6"/>
    <mergeCell ref="C5:C6"/>
    <mergeCell ref="D5:D6"/>
    <mergeCell ref="E5:E6"/>
    <mergeCell ref="H5:H6"/>
    <mergeCell ref="J5:J6"/>
    <mergeCell ref="K5:K6"/>
    <mergeCell ref="L5:L6"/>
    <mergeCell ref="I5:I6"/>
    <mergeCell ref="N5:N6"/>
  </mergeCells>
  <phoneticPr fontId="12" type="noConversion"/>
  <conditionalFormatting sqref="B13:B14 C71:C72 B71:B82 B25:C69 B86:C1048576 B74:C84">
    <cfRule type="containsText" dxfId="47" priority="209" operator="containsText" text="BEOBACHTEN">
      <formula>NOT(ISERROR(SEARCH("BEOBACHTEN",B13)))</formula>
    </cfRule>
    <cfRule type="containsText" dxfId="46" priority="210" operator="containsText" text="AKTIV">
      <formula>NOT(ISERROR(SEARCH("AKTIV",B13)))</formula>
    </cfRule>
  </conditionalFormatting>
  <conditionalFormatting sqref="B13:B14 C71:C72 B25:C69 B86:C1048576 B74:C84">
    <cfRule type="containsText" dxfId="45" priority="208" operator="containsText" text="LANGFRISTIG">
      <formula>NOT(ISERROR(SEARCH("LANGFRISTIG",B13)))</formula>
    </cfRule>
  </conditionalFormatting>
  <conditionalFormatting sqref="B16:B19 G7:G52 E38:E84">
    <cfRule type="containsText" dxfId="44" priority="199" operator="containsText" text="LANGFRISTIG">
      <formula>NOT(ISERROR(SEARCH("LANGFRISTIG",B7)))</formula>
    </cfRule>
    <cfRule type="containsText" dxfId="43" priority="200" operator="containsText" text="BEOBACHTEN">
      <formula>NOT(ISERROR(SEARCH("BEOBACHTEN",B7)))</formula>
    </cfRule>
    <cfRule type="containsText" dxfId="42" priority="201" operator="containsText" text="AKTIV">
      <formula>NOT(ISERROR(SEARCH("AKTIV",B7)))</formula>
    </cfRule>
  </conditionalFormatting>
  <conditionalFormatting sqref="B21:B24">
    <cfRule type="containsText" dxfId="41" priority="196" operator="containsText" text="LANGFRISTIG">
      <formula>NOT(ISERROR(SEARCH("LANGFRISTIG",B21)))</formula>
    </cfRule>
    <cfRule type="containsText" dxfId="40" priority="197" operator="containsText" text="BEOBACHTEN">
      <formula>NOT(ISERROR(SEARCH("BEOBACHTEN",B21)))</formula>
    </cfRule>
    <cfRule type="containsText" dxfId="39" priority="198" operator="containsText" text="AKTIV">
      <formula>NOT(ISERROR(SEARCH("AKTIV",B21)))</formula>
    </cfRule>
  </conditionalFormatting>
  <conditionalFormatting sqref="B70">
    <cfRule type="containsText" dxfId="38" priority="44" operator="containsText" text="BEOBACHTEN">
      <formula>NOT(ISERROR(SEARCH("BEOBACHTEN",B70)))</formula>
    </cfRule>
    <cfRule type="containsText" dxfId="37" priority="45" operator="containsText" text="AKTIV">
      <formula>NOT(ISERROR(SEARCH("AKTIV",B70)))</formula>
    </cfRule>
  </conditionalFormatting>
  <conditionalFormatting sqref="B70:B84">
    <cfRule type="containsText" dxfId="36" priority="43" operator="containsText" text="LANGFRISTIG">
      <formula>NOT(ISERROR(SEARCH("LANGFRISTIG",B70)))</formula>
    </cfRule>
  </conditionalFormatting>
  <conditionalFormatting sqref="B5:C5 B7:F7 B8:D9 F8:F9 E8:E35 C10:C24 E25:F25 E27:F34 F35 E36:F37">
    <cfRule type="containsText" dxfId="35" priority="241" operator="containsText" text="LANGFRISTIG">
      <formula>NOT(ISERROR(SEARCH("LANGFRISTIG",B5)))</formula>
    </cfRule>
    <cfRule type="containsText" dxfId="34" priority="242" operator="containsText" text="BEOBACHTEN">
      <formula>NOT(ISERROR(SEARCH("BEOBACHTEN",B5)))</formula>
    </cfRule>
    <cfRule type="containsText" dxfId="33" priority="243" operator="containsText" text="AKTIV">
      <formula>NOT(ISERROR(SEARCH("AKTIV",B5)))</formula>
    </cfRule>
  </conditionalFormatting>
  <conditionalFormatting sqref="B10:B11 F38:F40">
    <cfRule type="containsText" dxfId="32" priority="214" operator="containsText" text="LANGFRISTIG">
      <formula>NOT(ISERROR(SEARCH("LANGFRISTIG",B10)))</formula>
    </cfRule>
    <cfRule type="containsText" dxfId="31" priority="215" operator="containsText" text="BEOBACHTEN">
      <formula>NOT(ISERROR(SEARCH("BEOBACHTEN",B10)))</formula>
    </cfRule>
    <cfRule type="containsText" dxfId="30" priority="216" operator="containsText" text="AKTIV">
      <formula>NOT(ISERROR(SEARCH("AKTIV",B10)))</formula>
    </cfRule>
  </conditionalFormatting>
  <conditionalFormatting sqref="I8:I20">
    <cfRule type="containsText" dxfId="29" priority="193" operator="containsText" text="LANGFRISTIG">
      <formula>NOT(ISERROR(SEARCH("LANGFRISTIG",I8)))</formula>
    </cfRule>
    <cfRule type="containsText" dxfId="28" priority="194" operator="containsText" text="BEOBACHTEN">
      <formula>NOT(ISERROR(SEARCH("BEOBACHTEN",I8)))</formula>
    </cfRule>
    <cfRule type="containsText" dxfId="27" priority="195" operator="containsText" text="AKTIV">
      <formula>NOT(ISERROR(SEARCH("AKTIV",I8)))</formula>
    </cfRule>
  </conditionalFormatting>
  <conditionalFormatting sqref="I24:I25">
    <cfRule type="containsText" dxfId="26" priority="187" operator="containsText" text="LANGFRISTIG">
      <formula>NOT(ISERROR(SEARCH("LANGFRISTIG",I24)))</formula>
    </cfRule>
    <cfRule type="containsText" dxfId="25" priority="188" operator="containsText" text="BEOBACHTEN">
      <formula>NOT(ISERROR(SEARCH("BEOBACHTEN",I24)))</formula>
    </cfRule>
    <cfRule type="containsText" dxfId="24" priority="189" operator="containsText" text="AKTIV">
      <formula>NOT(ISERROR(SEARCH("AKTIV",I24)))</formula>
    </cfRule>
  </conditionalFormatting>
  <conditionalFormatting sqref="I28">
    <cfRule type="containsText" dxfId="23" priority="181" operator="containsText" text="LANGFRISTIG">
      <formula>NOT(ISERROR(SEARCH("LANGFRISTIG",I28)))</formula>
    </cfRule>
    <cfRule type="containsText" dxfId="22" priority="182" operator="containsText" text="BEOBACHTEN">
      <formula>NOT(ISERROR(SEARCH("BEOBACHTEN",I28)))</formula>
    </cfRule>
    <cfRule type="containsText" dxfId="21" priority="183" operator="containsText" text="AKTIV">
      <formula>NOT(ISERROR(SEARCH("AKTIV",I28)))</formula>
    </cfRule>
  </conditionalFormatting>
  <conditionalFormatting sqref="I30">
    <cfRule type="containsText" dxfId="20" priority="175" operator="containsText" text="LANGFRISTIG">
      <formula>NOT(ISERROR(SEARCH("LANGFRISTIG",I30)))</formula>
    </cfRule>
    <cfRule type="containsText" dxfId="19" priority="176" operator="containsText" text="BEOBACHTEN">
      <formula>NOT(ISERROR(SEARCH("BEOBACHTEN",I30)))</formula>
    </cfRule>
    <cfRule type="containsText" dxfId="18" priority="177" operator="containsText" text="AKTIV">
      <formula>NOT(ISERROR(SEARCH("AKTIV",I30)))</formula>
    </cfRule>
  </conditionalFormatting>
  <conditionalFormatting sqref="I77">
    <cfRule type="containsText" dxfId="17" priority="34" operator="containsText" text="LANGFRISTIG">
      <formula>NOT(ISERROR(SEARCH("LANGFRISTIG",I77)))</formula>
    </cfRule>
    <cfRule type="containsText" dxfId="16" priority="35" operator="containsText" text="BEOBACHTEN">
      <formula>NOT(ISERROR(SEARCH("BEOBACHTEN",I77)))</formula>
    </cfRule>
    <cfRule type="containsText" dxfId="15" priority="36" operator="containsText" text="AKTIV">
      <formula>NOT(ISERROR(SEARCH("AKTIV",I77)))</formula>
    </cfRule>
  </conditionalFormatting>
  <conditionalFormatting sqref="I82:I83">
    <cfRule type="containsText" dxfId="14" priority="37" operator="containsText" text="LANGFRISTIG">
      <formula>NOT(ISERROR(SEARCH("LANGFRISTIG",I82)))</formula>
    </cfRule>
    <cfRule type="containsText" dxfId="13" priority="38" operator="containsText" text="BEOBACHTEN">
      <formula>NOT(ISERROR(SEARCH("BEOBACHTEN",I82)))</formula>
    </cfRule>
    <cfRule type="containsText" dxfId="12" priority="39" operator="containsText" text="AKTIV">
      <formula>NOT(ISERROR(SEARCH("AKTIV",I82)))</formula>
    </cfRule>
  </conditionalFormatting>
  <hyperlinks>
    <hyperlink ref="N1" r:id="rId1" xr:uid="{18E7B55B-5734-4B7B-8C2A-59CEA41E3976}"/>
  </hyperlinks>
  <pageMargins left="0.7" right="0.7" top="0.75" bottom="0.75" header="0.3" footer="0.3"/>
  <pageSetup paperSize="9" orientation="landscape" r:id="rId2"/>
  <headerFooter>
    <oddFooter>&amp;R_x000D_&amp;1#&amp;"Arial"&amp;12&amp;KFF9800 CONFIDENTIAL</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08A4-1556-44F9-8359-71E8BFB2B6D2}">
  <dimension ref="B2:C30"/>
  <sheetViews>
    <sheetView topLeftCell="A26" workbookViewId="0">
      <selection activeCell="B36" sqref="B36"/>
    </sheetView>
  </sheetViews>
  <sheetFormatPr baseColWidth="10" defaultRowHeight="15" x14ac:dyDescent="0.25"/>
  <cols>
    <col min="2" max="2" width="18.7109375" customWidth="1"/>
    <col min="3" max="3" width="194.28515625" customWidth="1"/>
  </cols>
  <sheetData>
    <row r="2" spans="2:3" ht="108" x14ac:dyDescent="0.25">
      <c r="B2" s="2" t="s">
        <v>38</v>
      </c>
      <c r="C2" s="19" t="s">
        <v>44</v>
      </c>
    </row>
    <row r="3" spans="2:3" ht="165" x14ac:dyDescent="0.25">
      <c r="B3" t="s">
        <v>41</v>
      </c>
      <c r="C3" s="1" t="s">
        <v>43</v>
      </c>
    </row>
    <row r="4" spans="2:3" ht="180" x14ac:dyDescent="0.25">
      <c r="B4" t="s">
        <v>48</v>
      </c>
      <c r="C4" s="20" t="s">
        <v>51</v>
      </c>
    </row>
    <row r="5" spans="2:3" ht="210" x14ac:dyDescent="0.25">
      <c r="B5" t="s">
        <v>52</v>
      </c>
      <c r="C5" s="21" t="s">
        <v>55</v>
      </c>
    </row>
    <row r="6" spans="2:3" ht="180" x14ac:dyDescent="0.25">
      <c r="B6" t="s">
        <v>56</v>
      </c>
      <c r="C6" s="22" t="s">
        <v>58</v>
      </c>
    </row>
    <row r="7" spans="2:3" ht="195" x14ac:dyDescent="0.25">
      <c r="B7" t="s">
        <v>14</v>
      </c>
      <c r="C7" s="1" t="s">
        <v>59</v>
      </c>
    </row>
    <row r="8" spans="2:3" ht="210" x14ac:dyDescent="0.25">
      <c r="B8" t="s">
        <v>15</v>
      </c>
      <c r="C8" s="20" t="s">
        <v>61</v>
      </c>
    </row>
    <row r="9" spans="2:3" ht="195" x14ac:dyDescent="0.25">
      <c r="B9" t="s">
        <v>7</v>
      </c>
      <c r="C9" s="21" t="s">
        <v>62</v>
      </c>
    </row>
    <row r="10" spans="2:3" ht="180" x14ac:dyDescent="0.25">
      <c r="B10" t="s">
        <v>63</v>
      </c>
      <c r="C10" s="23" t="s">
        <v>65</v>
      </c>
    </row>
    <row r="11" spans="2:3" ht="195" x14ac:dyDescent="0.25">
      <c r="B11" t="s">
        <v>66</v>
      </c>
      <c r="C11" s="21" t="s">
        <v>69</v>
      </c>
    </row>
    <row r="12" spans="2:3" ht="180" x14ac:dyDescent="0.25">
      <c r="B12" t="s">
        <v>72</v>
      </c>
      <c r="C12" s="23" t="s">
        <v>74</v>
      </c>
    </row>
    <row r="13" spans="2:3" ht="195" x14ac:dyDescent="0.25">
      <c r="B13" t="s">
        <v>75</v>
      </c>
      <c r="C13" s="21" t="s">
        <v>77</v>
      </c>
    </row>
    <row r="14" spans="2:3" ht="195" x14ac:dyDescent="0.25">
      <c r="B14" t="s">
        <v>78</v>
      </c>
      <c r="C14" s="23" t="s">
        <v>80</v>
      </c>
    </row>
    <row r="15" spans="2:3" ht="195" x14ac:dyDescent="0.25">
      <c r="B15" t="s">
        <v>86</v>
      </c>
      <c r="C15" s="1" t="s">
        <v>88</v>
      </c>
    </row>
    <row r="16" spans="2:3" ht="195" x14ac:dyDescent="0.25">
      <c r="B16" s="10" t="s">
        <v>90</v>
      </c>
      <c r="C16" s="1" t="s">
        <v>92</v>
      </c>
    </row>
    <row r="17" spans="2:3" ht="180" x14ac:dyDescent="0.25">
      <c r="B17" s="10" t="s">
        <v>94</v>
      </c>
      <c r="C17" s="1" t="s">
        <v>93</v>
      </c>
    </row>
    <row r="18" spans="2:3" ht="180" x14ac:dyDescent="0.25">
      <c r="B18" s="10" t="s">
        <v>95</v>
      </c>
      <c r="C18" s="1" t="s">
        <v>97</v>
      </c>
    </row>
    <row r="19" spans="2:3" ht="180" x14ac:dyDescent="0.25">
      <c r="B19" s="10" t="s">
        <v>98</v>
      </c>
      <c r="C19" s="1" t="s">
        <v>101</v>
      </c>
    </row>
    <row r="20" spans="2:3" ht="180" x14ac:dyDescent="0.25">
      <c r="B20" s="10" t="s">
        <v>102</v>
      </c>
      <c r="C20" s="1" t="s">
        <v>103</v>
      </c>
    </row>
    <row r="21" spans="2:3" ht="180" x14ac:dyDescent="0.25">
      <c r="B21" s="10" t="s">
        <v>104</v>
      </c>
      <c r="C21" s="1" t="s">
        <v>107</v>
      </c>
    </row>
    <row r="22" spans="2:3" ht="195" x14ac:dyDescent="0.25">
      <c r="B22" s="10" t="s">
        <v>108</v>
      </c>
      <c r="C22" s="1" t="s">
        <v>109</v>
      </c>
    </row>
    <row r="23" spans="2:3" ht="195" x14ac:dyDescent="0.25">
      <c r="B23" s="10" t="s">
        <v>112</v>
      </c>
      <c r="C23" s="1" t="s">
        <v>114</v>
      </c>
    </row>
    <row r="24" spans="2:3" ht="165" x14ac:dyDescent="0.25">
      <c r="B24" s="10" t="s">
        <v>115</v>
      </c>
      <c r="C24" s="1" t="s">
        <v>118</v>
      </c>
    </row>
    <row r="25" spans="2:3" ht="135" x14ac:dyDescent="0.25">
      <c r="B25" s="10" t="s">
        <v>119</v>
      </c>
      <c r="C25" s="1" t="s">
        <v>121</v>
      </c>
    </row>
    <row r="26" spans="2:3" ht="150" x14ac:dyDescent="0.25">
      <c r="B26" s="10" t="s">
        <v>128</v>
      </c>
      <c r="C26" s="1" t="s">
        <v>130</v>
      </c>
    </row>
    <row r="27" spans="2:3" ht="150" x14ac:dyDescent="0.25">
      <c r="B27" s="10" t="s">
        <v>141</v>
      </c>
      <c r="C27" s="1" t="s">
        <v>145</v>
      </c>
    </row>
    <row r="28" spans="2:3" ht="180" x14ac:dyDescent="0.25">
      <c r="B28" s="10" t="s">
        <v>172</v>
      </c>
      <c r="C28" s="1" t="s">
        <v>176</v>
      </c>
    </row>
    <row r="29" spans="2:3" ht="195" x14ac:dyDescent="0.25">
      <c r="B29" s="10" t="s">
        <v>41</v>
      </c>
      <c r="C29" s="1" t="s">
        <v>178</v>
      </c>
    </row>
    <row r="30" spans="2:3" ht="165" x14ac:dyDescent="0.25">
      <c r="B30" s="10" t="s">
        <v>179</v>
      </c>
      <c r="C30" s="1" t="s">
        <v>182</v>
      </c>
    </row>
  </sheetData>
  <conditionalFormatting sqref="B2">
    <cfRule type="containsText" dxfId="11" priority="46" operator="containsText" text="LANGFRISTIG">
      <formula>NOT(ISERROR(SEARCH("LANGFRISTIG",B2)))</formula>
    </cfRule>
    <cfRule type="containsText" dxfId="10" priority="47" operator="containsText" text="BEOBACHTEN">
      <formula>NOT(ISERROR(SEARCH("BEOBACHTEN",B2)))</formula>
    </cfRule>
    <cfRule type="containsText" dxfId="9" priority="48" operator="containsText" text="AKTIV">
      <formula>NOT(ISERROR(SEARCH("AKTIV",B2)))</formula>
    </cfRule>
  </conditionalFormatting>
  <conditionalFormatting sqref="B16:B30">
    <cfRule type="containsText" dxfId="8" priority="1" operator="containsText" text="LANGFRISTIG">
      <formula>NOT(ISERROR(SEARCH("LANGFRISTIG",B16)))</formula>
    </cfRule>
    <cfRule type="containsText" dxfId="7" priority="2" operator="containsText" text="BEOBACHTEN">
      <formula>NOT(ISERROR(SEARCH("BEOBACHTEN",B16)))</formula>
    </cfRule>
    <cfRule type="containsText" dxfId="6" priority="3" operator="containsText" text="AKTIV">
      <formula>NOT(ISERROR(SEARCH("AKTIV",B16)))</formula>
    </cfRule>
  </conditionalFormatting>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7A088-F9C2-467D-9C59-8B70A64BB67F}">
  <dimension ref="B3:C10"/>
  <sheetViews>
    <sheetView showGridLines="0" workbookViewId="0">
      <selection activeCell="B10" sqref="B10"/>
    </sheetView>
  </sheetViews>
  <sheetFormatPr baseColWidth="10" defaultRowHeight="15" x14ac:dyDescent="0.25"/>
  <cols>
    <col min="2" max="2" width="17.5703125" customWidth="1"/>
  </cols>
  <sheetData>
    <row r="3" spans="2:3" x14ac:dyDescent="0.25">
      <c r="B3" s="12" t="s">
        <v>37</v>
      </c>
      <c r="C3" s="2" t="s">
        <v>45</v>
      </c>
    </row>
    <row r="4" spans="2:3" x14ac:dyDescent="0.25">
      <c r="B4" s="24" t="s">
        <v>70</v>
      </c>
      <c r="C4" s="2" t="s">
        <v>46</v>
      </c>
    </row>
    <row r="5" spans="2:3" x14ac:dyDescent="0.25">
      <c r="B5" s="25" t="s">
        <v>71</v>
      </c>
      <c r="C5" s="2" t="s">
        <v>47</v>
      </c>
    </row>
    <row r="8" spans="2:3" x14ac:dyDescent="0.25">
      <c r="B8" s="15" t="s">
        <v>35</v>
      </c>
    </row>
    <row r="9" spans="2:3" x14ac:dyDescent="0.25">
      <c r="B9" s="16" t="s">
        <v>17</v>
      </c>
    </row>
    <row r="10" spans="2:3" x14ac:dyDescent="0.25">
      <c r="B10" s="4" t="s">
        <v>18</v>
      </c>
    </row>
  </sheetData>
  <conditionalFormatting sqref="B3">
    <cfRule type="containsText" dxfId="5" priority="1" operator="containsText" text="LANGFRISTIG">
      <formula>NOT(ISERROR(SEARCH("LANGFRISTIG",B3)))</formula>
    </cfRule>
    <cfRule type="containsText" dxfId="4" priority="2" operator="containsText" text="BEOBACHTEN">
      <formula>NOT(ISERROR(SEARCH("BEOBACHTEN",B3)))</formula>
    </cfRule>
    <cfRule type="containsText" dxfId="3" priority="3" operator="containsText" text="AKTIV">
      <formula>NOT(ISERROR(SEARCH("AKTIV",B3)))</formula>
    </cfRule>
  </conditionalFormatting>
  <conditionalFormatting sqref="B8:B10">
    <cfRule type="containsText" dxfId="2" priority="4" operator="containsText" text="LANGFRISTIG">
      <formula>NOT(ISERROR(SEARCH("LANGFRISTIG",B8)))</formula>
    </cfRule>
    <cfRule type="containsText" dxfId="1" priority="5" operator="containsText" text="BEOBACHTEN">
      <formula>NOT(ISERROR(SEARCH("BEOBACHTEN",B8)))</formula>
    </cfRule>
    <cfRule type="containsText" dxfId="0" priority="6" operator="containsText" text="AKTIV">
      <formula>NOT(ISERROR(SEARCH("AKTIV",B8)))</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AUSZUG</vt:lpstr>
      <vt:lpstr>PIPELINE 2026</vt:lpstr>
      <vt:lpstr>STRATEGY</vt:lpstr>
      <vt:lpstr>LEGENDE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Kotzur, Sven</dc:creator>
  <cp:lastModifiedBy>Kotzur, Sven</cp:lastModifiedBy>
  <dcterms:created xsi:type="dcterms:W3CDTF">2015-06-05T18:19:34Z</dcterms:created>
  <dcterms:modified xsi:type="dcterms:W3CDTF">2025-12-06T22:33:56Z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62c8c9-62d5-4508-990f-5e091a0d921e_Enabled">
    <vt:lpwstr>true</vt:lpwstr>
  </property>
  <property fmtid="{D5CDD505-2E9C-101B-9397-08002B2CF9AE}" pid="3" name="MSIP_Label_8a62c8c9-62d5-4508-990f-5e091a0d921e_SetDate">
    <vt:lpwstr>2025-12-02T08:34:46Z</vt:lpwstr>
  </property>
  <property fmtid="{D5CDD505-2E9C-101B-9397-08002B2CF9AE}" pid="4" name="MSIP_Label_8a62c8c9-62d5-4508-990f-5e091a0d921e_Method">
    <vt:lpwstr>Standard</vt:lpwstr>
  </property>
  <property fmtid="{D5CDD505-2E9C-101B-9397-08002B2CF9AE}" pid="5" name="MSIP_Label_8a62c8c9-62d5-4508-990f-5e091a0d921e_Name">
    <vt:lpwstr>confidential</vt:lpwstr>
  </property>
  <property fmtid="{D5CDD505-2E9C-101B-9397-08002B2CF9AE}" pid="6" name="MSIP_Label_8a62c8c9-62d5-4508-990f-5e091a0d921e_SiteId">
    <vt:lpwstr>7106b467-21bb-484c-9e4d-75fc460bec04</vt:lpwstr>
  </property>
  <property fmtid="{D5CDD505-2E9C-101B-9397-08002B2CF9AE}" pid="7" name="MSIP_Label_8a62c8c9-62d5-4508-990f-5e091a0d921e_ActionId">
    <vt:lpwstr>50ec0a30-12fc-44d6-921e-9a04ad77e3b4</vt:lpwstr>
  </property>
  <property fmtid="{D5CDD505-2E9C-101B-9397-08002B2CF9AE}" pid="8" name="MSIP_Label_8a62c8c9-62d5-4508-990f-5e091a0d921e_ContentBits">
    <vt:lpwstr>2</vt:lpwstr>
  </property>
  <property fmtid="{D5CDD505-2E9C-101B-9397-08002B2CF9AE}" pid="9" name="MSIP_Label_8a62c8c9-62d5-4508-990f-5e091a0d921e_Tag">
    <vt:lpwstr>10, 3, 0, 1</vt:lpwstr>
  </property>
</Properties>
</file>